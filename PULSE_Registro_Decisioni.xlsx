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'Decisioni'!$A$1:$O$52</definedName>
    <definedName name="_xlnm._FilterDatabase" localSheetId="2" hidden="1">'Requisiti'!$A$1:$I$44</definedName>
    <definedName name="_xlnm._FilterDatabase" localSheetId="3" hidden="1">'Rischi'!$A$1:$M$39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n"/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Approvata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Proposta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Proposta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Proposta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Proposta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Proposta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Proposta</t>
        </is>
      </c>
      <c r="M41" s="47" t="n"/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Proposta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Proposta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Proposta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Proposta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/>
    <row r="57"/>
    <row r="58"/>
    <row r="59"/>
  </sheetData>
  <autoFilter ref="A1:O52"/>
  <conditionalFormatting sqref="A2:O52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52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52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52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52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blackout, distinguendo il blackout dalla copertura nuvolosa.</t>
        </is>
      </c>
      <c r="D8" s="47" t="inlineStr">
        <is>
          <t>Metodo TBD</t>
        </is>
      </c>
      <c r="E8" s="47" t="inlineStr">
        <is>
          <t>Analisi + test AI</t>
        </is>
      </c>
      <c r="F8" s="47" t="inlineStr">
        <is>
          <t>TBD</t>
        </is>
      </c>
      <c r="G8" s="47" t="inlineStr">
        <is>
          <t>D-013</t>
        </is>
      </c>
      <c r="H8" s="47" t="inlineStr">
        <is>
          <t>Giuseppe</t>
        </is>
      </c>
      <c r="I8" s="47" t="inlineStr">
        <is>
          <t>Da chiudere in A4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 dati d'assetto.</t>
        </is>
      </c>
      <c r="D21" s="47" t="inlineStr">
        <is>
          <t>≤ 0,001°/s; sfasamento corretto a bordo con i dati del giroscopio (residuo ~0,8 m, ~0,27 pixel colore)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Puntamento, FMC e acquisizione devono stare nella finestra di ripresa sul bersaglio.</t>
        </is>
      </c>
      <c r="D24" s="47" t="inlineStr">
        <is>
          <t>≤ 50 s a 30°, ≤ 90 s a 45°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</t>
        </is>
      </c>
      <c r="H24" s="47" t="inlineStr">
        <is>
          <t>Giuliano</t>
        </is>
      </c>
      <c r="I24" s="47" t="n"/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</row>
    <row r="42" ht="15" customHeight="1" s="26">
      <c r="A42" s="47" t="n"/>
      <c r="B42" s="47" t="n"/>
      <c r="C42" s="47" t="n"/>
      <c r="D42" s="47" t="n"/>
      <c r="E42" s="47" t="n"/>
      <c r="F42" s="47" t="n"/>
      <c r="G42" s="47" t="n"/>
      <c r="H42" s="47" t="n"/>
      <c r="I42" s="47" t="n"/>
    </row>
    <row r="43" ht="15" customHeight="1" s="26">
      <c r="A43" s="47" t="n"/>
      <c r="B43" s="47" t="n"/>
      <c r="C43" s="47" t="n"/>
      <c r="D43" s="47" t="n"/>
      <c r="E43" s="47" t="n"/>
      <c r="F43" s="47" t="n"/>
      <c r="G43" s="47" t="n"/>
      <c r="H43" s="47" t="n"/>
      <c r="I43" s="47" t="n"/>
    </row>
    <row r="44" ht="15" customHeight="1" s="26">
      <c r="A44" s="47" t="n"/>
      <c r="B44" s="47" t="n"/>
      <c r="C44" s="47" t="n"/>
      <c r="D44" s="47" t="n"/>
      <c r="E44" s="47" t="n"/>
      <c r="F44" s="47" t="n"/>
      <c r="G44" s="47" t="n"/>
      <c r="H44" s="47" t="n"/>
      <c r="I44" s="47" t="n"/>
    </row>
  </sheetData>
  <autoFilter ref="A1:I44"/>
  <conditionalFormatting sqref="A2:I44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44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44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44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Aperto</t>
        </is>
      </c>
      <c r="L4" s="47" t="inlineStr">
        <is>
          <t>Fase 0</t>
        </is>
      </c>
      <c r="M4" s="47" t="n"/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Aperto</t>
        </is>
      </c>
      <c r="L17" s="47" t="inlineStr">
        <is>
          <t>A2</t>
        </is>
      </c>
      <c r="M17" s="47" t="inlineStr">
        <is>
          <t>A3: luna piena ~7 nW/cm²/sr, come un paese illuminato. Probabilità da valutare in A6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</t>
        </is>
      </c>
    </row>
    <row r="30" ht="15" customHeight="1" s="26">
      <c r="A30" s="47" t="n"/>
      <c r="B30" s="47" t="n"/>
      <c r="C30" s="47" t="n"/>
      <c r="D30" s="47" t="n"/>
      <c r="E30" s="47" t="n"/>
      <c r="F30" s="50">
        <f>IF(OR(D30="",E30=""),"",MATCH(D30,{"Bassa","Media","Alta"},0)*MATCH(E30,{"Bassa","Media","Alta"},0))</f>
        <v/>
      </c>
      <c r="G30" s="47" t="n"/>
      <c r="H30" s="47" t="n"/>
      <c r="I30" s="47" t="n"/>
      <c r="J30" s="47" t="n"/>
      <c r="K30" s="47" t="n"/>
      <c r="L30" s="47" t="n"/>
      <c r="M30" s="47" t="n"/>
    </row>
    <row r="31" ht="15" customHeight="1" s="26">
      <c r="A31" s="47" t="n"/>
      <c r="B31" s="47" t="n"/>
      <c r="C31" s="47" t="n"/>
      <c r="D31" s="47" t="n"/>
      <c r="E31" s="47" t="n"/>
      <c r="F31" s="50">
        <f>IF(OR(D31="",E31=""),"",MATCH(D31,{"Bassa","Media","Alta"},0)*MATCH(E31,{"Bassa","Media","Alta"},0))</f>
        <v/>
      </c>
      <c r="G31" s="47" t="n"/>
      <c r="H31" s="47" t="n"/>
      <c r="I31" s="47" t="n"/>
      <c r="J31" s="47" t="n"/>
      <c r="K31" s="47" t="n"/>
      <c r="L31" s="47" t="n"/>
      <c r="M31" s="47" t="n"/>
    </row>
    <row r="32" ht="15" customHeight="1" s="26">
      <c r="A32" s="47" t="n"/>
      <c r="B32" s="47" t="n"/>
      <c r="C32" s="47" t="n"/>
      <c r="D32" s="47" t="n"/>
      <c r="E32" s="47" t="n"/>
      <c r="F32" s="50">
        <f>IF(OR(D32="",E32=""),"",MATCH(D32,{"Bassa","Media","Alta"},0)*MATCH(E32,{"Bassa","Media","Alta"},0))</f>
        <v/>
      </c>
      <c r="G32" s="47" t="n"/>
      <c r="H32" s="47" t="n"/>
      <c r="I32" s="47" t="n"/>
      <c r="J32" s="47" t="n"/>
      <c r="K32" s="47" t="n"/>
      <c r="L32" s="47" t="n"/>
      <c r="M32" s="47" t="n"/>
    </row>
    <row r="33" ht="15" customHeight="1" s="26">
      <c r="A33" s="47" t="n"/>
      <c r="B33" s="47" t="n"/>
      <c r="C33" s="47" t="n"/>
      <c r="D33" s="47" t="n"/>
      <c r="E33" s="47" t="n"/>
      <c r="F33" s="50">
        <f>IF(OR(D33="",E33=""),"",MATCH(D33,{"Bassa","Media","Alta"},0)*MATCH(E33,{"Bassa","Media","Alta"},0))</f>
        <v/>
      </c>
      <c r="G33" s="47" t="n"/>
      <c r="H33" s="47" t="n"/>
      <c r="I33" s="47" t="n"/>
      <c r="J33" s="47" t="n"/>
      <c r="K33" s="47" t="n"/>
      <c r="L33" s="47" t="n"/>
      <c r="M33" s="47" t="n"/>
    </row>
    <row r="34" ht="15" customHeight="1" s="26">
      <c r="A34" s="47" t="n"/>
      <c r="B34" s="47" t="n"/>
      <c r="C34" s="47" t="n"/>
      <c r="D34" s="47" t="n"/>
      <c r="E34" s="47" t="n"/>
      <c r="F34" s="50">
        <f>IF(OR(D34="",E34=""),"",MATCH(D34,{"Bassa","Media","Alta"},0)*MATCH(E34,{"Bassa","Media","Alta"},0))</f>
        <v/>
      </c>
      <c r="G34" s="47" t="n"/>
      <c r="H34" s="47" t="n"/>
      <c r="I34" s="47" t="n"/>
      <c r="J34" s="47" t="n"/>
      <c r="K34" s="47" t="n"/>
      <c r="L34" s="47" t="n"/>
      <c r="M34" s="47" t="n"/>
    </row>
    <row r="35" ht="15" customHeight="1" s="26">
      <c r="A35" s="47" t="n"/>
      <c r="B35" s="47" t="n"/>
      <c r="C35" s="47" t="n"/>
      <c r="D35" s="47" t="n"/>
      <c r="E35" s="47" t="n"/>
      <c r="F35" s="50">
        <f>IF(OR(D35="",E35=""),"",MATCH(D35,{"Bassa","Media","Alta"},0)*MATCH(E35,{"Bassa","Media","Alta"},0))</f>
        <v/>
      </c>
      <c r="G35" s="47" t="n"/>
      <c r="H35" s="47" t="n"/>
      <c r="I35" s="47" t="n"/>
      <c r="J35" s="47" t="n"/>
      <c r="K35" s="47" t="n"/>
      <c r="L35" s="47" t="n"/>
      <c r="M35" s="47" t="n"/>
    </row>
    <row r="36" ht="15" customHeight="1" s="26">
      <c r="A36" s="47" t="n"/>
      <c r="B36" s="47" t="n"/>
      <c r="C36" s="47" t="n"/>
      <c r="D36" s="47" t="n"/>
      <c r="E36" s="47" t="n"/>
      <c r="F36" s="50">
        <f>IF(OR(D36="",E36=""),"",MATCH(D36,{"Bassa","Media","Alta"},0)*MATCH(E36,{"Bassa","Media","Alta"},0))</f>
        <v/>
      </c>
      <c r="G36" s="47" t="n"/>
      <c r="H36" s="47" t="n"/>
      <c r="I36" s="47" t="n"/>
      <c r="J36" s="47" t="n"/>
      <c r="K36" s="47" t="n"/>
      <c r="L36" s="47" t="n"/>
      <c r="M36" s="47" t="n"/>
    </row>
    <row r="37" ht="15" customHeight="1" s="26">
      <c r="A37" s="47" t="n"/>
      <c r="B37" s="47" t="n"/>
      <c r="C37" s="47" t="n"/>
      <c r="D37" s="47" t="n"/>
      <c r="E37" s="47" t="n"/>
      <c r="F37" s="50">
        <f>IF(OR(D37="",E37=""),"",MATCH(D37,{"Bassa","Media","Alta"},0)*MATCH(E37,{"Bassa","Media","Alta"},0))</f>
        <v/>
      </c>
      <c r="G37" s="47" t="n"/>
      <c r="H37" s="47" t="n"/>
      <c r="I37" s="47" t="n"/>
      <c r="J37" s="47" t="n"/>
      <c r="K37" s="47" t="n"/>
      <c r="L37" s="47" t="n"/>
      <c r="M37" s="47" t="n"/>
    </row>
    <row r="38" ht="15" customHeight="1" s="26">
      <c r="A38" s="47" t="n"/>
      <c r="B38" s="47" t="n"/>
      <c r="C38" s="47" t="n"/>
      <c r="D38" s="47" t="n"/>
      <c r="E38" s="47" t="n"/>
      <c r="F38" s="50">
        <f>IF(OR(D38="",E38=""),"",MATCH(D38,{"Bassa","Media","Alta"},0)*MATCH(E38,{"Bassa","Media","Alta"},0))</f>
        <v/>
      </c>
      <c r="G38" s="47" t="n"/>
      <c r="H38" s="47" t="n"/>
      <c r="I38" s="47" t="n"/>
      <c r="J38" s="47" t="n"/>
      <c r="K38" s="47" t="n"/>
      <c r="L38" s="47" t="n"/>
      <c r="M38" s="47" t="n"/>
    </row>
    <row r="39" ht="15" customHeight="1" s="26">
      <c r="A39" s="47" t="n"/>
      <c r="B39" s="47" t="n"/>
      <c r="C39" s="47" t="n"/>
      <c r="D39" s="47" t="n"/>
      <c r="E39" s="47" t="n"/>
      <c r="F39" s="50">
        <f>IF(OR(D39="",E39=""),"",MATCH(D39,{"Bassa","Media","Alta"},0)*MATCH(E39,{"Bassa","Media","Alta"},0))</f>
        <v/>
      </c>
      <c r="G39" s="47" t="n"/>
      <c r="H39" s="47" t="n"/>
      <c r="I39" s="47" t="n"/>
      <c r="J39" s="47" t="n"/>
      <c r="K39" s="47" t="n"/>
      <c r="L39" s="47" t="n"/>
      <c r="M39" s="47" t="n"/>
    </row>
  </sheetData>
  <autoFilter ref="A1:M39"/>
  <conditionalFormatting sqref="F2:F39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39">
    <cfRule type="expression" rank="0" priority="5" equalAverage="0" aboveAverage="0" dxfId="8" text="" percent="0" bottom="0">
      <formula>$K2="Chiuso"</formula>
    </cfRule>
  </conditionalFormatting>
  <dataValidations count="4">
    <dataValidation sqref="D2:D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39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39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2026-10-24T14:18:50Z</dcterms:modified>
  <cp:revision>0</cp:revision>
</cp:coreProperties>
</file>