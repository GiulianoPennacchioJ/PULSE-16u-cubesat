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'Decisioni'!$A$1:$O$200</definedName>
    <definedName name="_xlnm._FilterDatabase" localSheetId="2" hidden="1">'Requisiti'!$A$1:$I$200</definedName>
    <definedName name="_xlnm._FilterDatabase" localSheetId="3" hidden="1">'Rischi'!$A$1:$M$200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1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inlineStr">
        <is>
          <t>A4 (D-065, Proposta): a bordo si aggiungono mappe notturne VIIRS e albedo a 100 m per la conferma dei blackout</t>
        </is>
      </c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 | 30/10/2026 (D-103): il bias di 96,8° resta; la deriva vera è ~−0,05°/anno con oscillazione annua ±0,15° (GMAT), non −0,33°/anno; ora del nodo 10:30 → 9:56 in 2 anni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inlineStr">
        <is>
          <t>30/10/2026 (A5.5.3, D-068): Fucino è in vista durante il 100% delle riprese sull'Italia; il suo uso per i comandi nello stesso passaggio dipende dalla geometria antenna–bersaglio (TBC). | 30/10/2026: D-081 (Proposta, A5.P3) propone che Fucino riceva anche gli allarmi urgenti nello stesso passaggio della ripresa | 30/10/2026 (D-081, G2): Fucino riceve anche gli allarmi diurni urgenti quando la finestra lo permette.</t>
        </is>
      </c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inlineStr">
        <is>
          <t xml:space="preserve"> | 30/10/2026 (D-105): con spinta solo in luce il 50% di accensione usa ~83% della luce disponibile; da verificare in A6/Fase B | 30/10/2026 (D-108): con 6 pannelli la spinta sostenibile è ~5,5 h/giorno (non ~12): discesa più lunga, da rifare con GMAT in A6</t>
        </is>
      </c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inlineStr">
        <is>
          <t>30/10/2026 Giuseppe: con D-076 (TMA in asse, Proposta) il campo di 3,9° per i sensori affiancati resta l'obiettivo ma va verificato per un TMA in asse (R-42). | 30/10/2026 (A5.P4): campo di 3,9° verificato con il telescopio RC + 3 lenti (D-088); il Korsch in asse non lo reggeva.</t>
        </is>
      </c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Approvata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Superata</t>
        </is>
      </c>
      <c r="M32" s="47" t="inlineStr">
        <is>
          <t>D-077</t>
        </is>
      </c>
      <c r="N32" s="47" t="inlineStr">
        <is>
          <t>Report A3, Decisione 3</t>
        </is>
      </c>
      <c r="O32" s="47" t="inlineStr">
        <is>
          <t>Proposta: l'inseguimento di 300 ms sui paesi va confermato da Giuliano.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Provvisoria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 26/10/2026 Giuseppe: approvata come Provvisoria (nessun effetto diretto sul payload; 269 m/s × 30 kg = 8,1 kN·s).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Approvata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 26/10/2026 Giuseppe: approvata. Payload: con L1 getto all'indietro e apertura a nadir (a 90°). Coperchio dell'apertura chiuso durante la spinta; niente spinta nei minuti prima di un passaggio sull'Italia (minuti TBC dall'analisi termica, piano operativo di R-14).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Approvata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 26/10/2026 Giuseppe: approvata. Telescopio in classe 20%; sensori e scheda AI 10–20% secondo il prodotto (A5 payload). Il margine 50% sul processore entra nel dimensionamento della scheda (D-056).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Approvata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 26/10/2026 Giuseppe: approvata. L'obiettivo 32 kg sarà stretto: EarthNext 35,6 kg con un telescopio più piccolo (apertura ~83 mm contro 120 mm).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Approvata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 26/10/2026 Giuseppe: approvata. Il file è nella radice del repo, accanto al registro (non in Documentation/). Suggerito: ID del foglio Dati da D-01… a DT-01… per non confonderli con le decisioni. Righe payload compilate da Giuseppe in A5 payload.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 | 30/10/2026: EPS di piattaforma assegnato a Giuliano con D-087 (Proposta); le altre voci restano aperte | 30/10/2026: D-087 approvata da Giuseppe (EPS a Giuliano) | 30/10/2026 (D-110, Proposta): termico di piattaforma a Giuseppe (modello termico unico del satellite) | 30/10/2026: D-110 approvata (termico di piattaforma a Giuseppe) | 30/10/2026 (D-113, Proposta): struttura e meccanismi, computer di bordo e cablaggi a Giuliano (R1); con l'approvazione di Giuseppe D-038 si chiude</t>
        </is>
      </c>
    </row>
    <row r="40" ht="15" customHeight="1" s="26">
      <c r="A40" s="47" t="inlineStr">
        <is>
          <t>D-039</t>
        </is>
      </c>
      <c r="B40" s="48" t="n">
        <v>46319</v>
      </c>
      <c r="C40" s="47" t="inlineStr">
        <is>
          <t>A5</t>
        </is>
      </c>
      <c r="D40" s="47" t="inlineStr">
        <is>
          <t>Giuliano</t>
        </is>
      </c>
      <c r="E40" s="47" t="inlineStr">
        <is>
          <t>GNC</t>
        </is>
      </c>
      <c r="F40" s="47" t="inlineStr">
        <is>
          <t>Metodo di verifica ADCS in Fase A: simulazione 1-asse (beccheggio) della FMC notturna in anello chiuso (ruota, controllo, rumore del giroscopio, disturbo costante), con controlli analitici degli accoppiamenti tra assi e bilancio del momento sulle 4 ruote</t>
        </is>
      </c>
      <c r="G40" s="47" t="inlineStr">
        <is>
          <t>Simulazione 3-assi subito; 1-asse ora + 3-assi semplificata a fine A5.3</t>
        </is>
      </c>
      <c r="H40" s="47" t="inlineStr">
        <is>
          <t>Risponde alla domanda che blocca D-030/D-031 (deriva &lt; 0,015°/s per scatto, inseguimento 0,36 s) con la precisione da Fase A (fattore 2). Stima di primo ordine: accoppiamento FMC × moto orbitale ~1·10⁻⁵ N·m, ~1/16 della soglia di deriva. Una 3-assi oggi poggerebbe su inerzie e layout TBC (A5.7)</t>
        </is>
      </c>
      <c r="I40" s="47" t="inlineStr">
        <is>
          <t>A5.3 c), e), g); Fase B (simulazione 3-assi in Simulink, Guida B.3)</t>
        </is>
      </c>
      <c r="J40" s="47" t="inlineStr">
        <is>
          <t>DR-10, DR-11, DR-04</t>
        </is>
      </c>
      <c r="K40" s="47" t="inlineStr">
        <is>
          <t>R-06</t>
        </is>
      </c>
      <c r="L40" s="47" t="inlineStr">
        <is>
          <t>Approvata</t>
        </is>
      </c>
      <c r="M40" s="47" t="n"/>
      <c r="N40" s="47" t="inlineStr">
        <is>
          <t>A5.3 – chat del 24/10/2026</t>
        </is>
      </c>
      <c r="O40" s="47" t="inlineStr">
        <is>
          <t>Riguarda solo la parte GNC. Simulazione 3-assi spostata in Fase B, quando A5.7 avrà fissato masse e inerzie</t>
        </is>
      </c>
    </row>
    <row r="41" ht="15" customHeight="1" s="26">
      <c r="A41" s="47" t="inlineStr">
        <is>
          <t>D-040</t>
        </is>
      </c>
      <c r="B41" s="48" t="n">
        <v>46319</v>
      </c>
      <c r="C41" s="47" t="inlineStr">
        <is>
          <t>A5</t>
        </is>
      </c>
      <c r="D41" s="47" t="inlineStr">
        <is>
          <t>Giuliano</t>
        </is>
      </c>
      <c r="E41" s="47" t="inlineStr">
        <is>
          <t>GNC</t>
        </is>
      </c>
      <c r="F41" s="47" t="inlineStr">
        <is>
          <t>Ripresa diurna: deriva d'assetto ≤ 0,001°/s; lo sfasamento tra le bande RGB-NIR (fino a ~0,79 s) e tra i 4 passaggi del TDI (~0,15 s) si corregge a bordo traslando ogni banda/passaggio secondo la deriva misurata dal giroscopio (opzione C). Correlazione tra le bande come affinamento opzionale nel software di bordo in Fase B (opzione D)</t>
        </is>
      </c>
      <c r="G41" s="47" t="inlineStr">
        <is>
          <t>A: 0,0002°/s senza correzione; B: 0,001°/s con riallineamento a terra; D come metodo principale (correlazione tra le bande)</t>
        </is>
      </c>
      <c r="H41" s="47" t="inlineStr">
        <is>
          <t>ADCS ordinaria; una sola funzione (traslazione secondo l'assetto misurato) per bande, TDI diurno e shift-and-add notturno (R-21); funziona anche su acqua uniforme. B contraddice D-007/MR-10 (AI a bordo con bande sfalsate di ~4,1 m); D fallisce su superfici uniformi (alluvioni, D-002). Residuo atteso ~0,8 m (~0,27 pixel colore) con errore del giroscopio ≤ 0,0002°/s</t>
        </is>
      </c>
      <c r="I41" s="47" t="inlineStr">
        <is>
          <t>Scheda di bordo (calcolo della traslazione), giroscopio (A5.3 f), sincronizzazione immagine–assetto, D-032 (TDI)</t>
        </is>
      </c>
      <c r="J41" s="47" t="inlineStr">
        <is>
          <t>DR-05, DR-18, DR-17, DR-13, MR-10</t>
        </is>
      </c>
      <c r="K41" s="47" t="inlineStr">
        <is>
          <t>R-15, R-21, R-25</t>
        </is>
      </c>
      <c r="L41" s="47" t="inlineStr">
        <is>
          <t>Superata</t>
        </is>
      </c>
      <c r="M41" s="47" t="inlineStr">
        <is>
          <t>D-056</t>
        </is>
      </c>
      <c r="N41" s="47" t="inlineStr">
        <is>
          <t>A5.3 a) – chat del 24/10/2026</t>
        </is>
      </c>
      <c r="O41" s="47" t="inlineStr">
        <is>
          <t>Proposta: aggiunge lavoro alla scheda di Giuseppe. Ritardo 0,79 s stimato con striscia PAN ~970 righe + 4 strisce colore: disposizione da confermare da Giuseppe. Senza correzione, a 0,001°/s il TDI a 4 passaggi si allarga di ~0,53 pixel PAN. 24/10/2026, A5.4: superata da D-056 (riallineamento geometrico con orbita, assetto e DEM al posto della traslazione unica); deriva ≤ 0,001°/s confermata</t>
        </is>
      </c>
    </row>
    <row r="42" ht="15" customHeight="1" s="26">
      <c r="A42" s="47" t="inlineStr">
        <is>
          <t>D-041</t>
        </is>
      </c>
      <c r="B42" s="48" t="n">
        <v>46319</v>
      </c>
      <c r="C42" s="47" t="inlineStr">
        <is>
          <t>A5</t>
        </is>
      </c>
      <c r="D42" s="47" t="inlineStr">
        <is>
          <t>Giuliano</t>
        </is>
      </c>
      <c r="E42" s="47" t="inlineStr">
        <is>
          <t>GNC</t>
        </is>
      </c>
      <c r="F42" s="47" t="inlineStr">
        <is>
          <t>Requisiti provvisori di puntamento e tempo: errore di puntamento assoluto (APE) ≤ 0,1°; sincronizzazione immagine–assetto ≤ 0,1 ms</t>
        </is>
      </c>
      <c r="G42" s="47" t="inlineStr">
        <is>
          <t>—</t>
        </is>
      </c>
      <c r="H42" s="47" t="inlineStr">
        <is>
          <t>APE 0,1° (come EarthNext) = 0,53 km a nadir, 1,14 km di traverso a 45°: 11% della semi-strisciata (0,92°). Con 1 ms di errore l'immagine si sposta di 7,4 m (5 pixel PAN) e di notte di 24 µrad (1,5 pixel); 0,1 ms → 0,74 m, facile con il PPS del GNSS</t>
        </is>
      </c>
      <c r="I42" s="47" t="inlineStr">
        <is>
          <t>A5.3 c), f), g); ricevitore GNSS (PPS)</t>
        </is>
      </c>
      <c r="J42" s="47" t="inlineStr">
        <is>
          <t>DR-15, DR-17, MR-05</t>
        </is>
      </c>
      <c r="K42" s="47" t="inlineStr">
        <is>
          <t>R-25</t>
        </is>
      </c>
      <c r="L42" s="47" t="inlineStr">
        <is>
          <t>Approvata</t>
        </is>
      </c>
      <c r="M42" s="47" t="n"/>
      <c r="N42" s="47" t="inlineStr">
        <is>
          <t>A5.3 a) – chat del 24/10/2026</t>
        </is>
      </c>
      <c r="O42" s="47" t="inlineStr">
        <is>
          <t>Valori TBC, da confermare in A5.3 f) e g). Riguarda solo la parte GNC</t>
        </is>
      </c>
    </row>
    <row r="43" ht="15" customHeight="1" s="26">
      <c r="A43" s="47" t="inlineStr">
        <is>
          <t>D-042</t>
        </is>
      </c>
      <c r="B43" s="48" t="n">
        <v>46319</v>
      </c>
      <c r="C43" s="47" t="inlineStr">
        <is>
          <t>A5</t>
        </is>
      </c>
      <c r="D43" s="47" t="inlineStr">
        <is>
          <t>Giuliano</t>
        </is>
      </c>
      <c r="E43" s="47" t="inlineStr">
        <is>
          <t>GNC</t>
        </is>
      </c>
      <c r="F43" s="47" t="inlineStr">
        <is>
          <t>Requisito provvisorio di conoscenza d'assetto (AKE) durante le riprese: ≤ 0,01°</t>
        </is>
      </c>
      <c r="G43" s="47" t="inlineStr">
        <is>
          <t>—</t>
        </is>
      </c>
      <c r="H43" s="47" t="inlineStr">
        <is>
          <t>Eredità EarthNext (AKE &lt; 0,01° in acquisizione). A terra: 53 m a nadir (~35 pixel PAN), 114 m di traverso a 45°: è la finestra in cui l'AI deve cercare l'allineamento immagine–OSM (MR-10)</t>
        </is>
      </c>
      <c r="I43" s="47" t="inlineStr">
        <is>
          <t>AI di bordo (ortorettifica, MR-10), sensori A5.3 f)</t>
        </is>
      </c>
      <c r="J43" s="47" t="inlineStr">
        <is>
          <t>DR-16, MR-10</t>
        </is>
      </c>
      <c r="K43" s="47" t="inlineStr">
        <is>
          <t>R-05</t>
        </is>
      </c>
      <c r="L43" s="47" t="inlineStr">
        <is>
          <t>Approvata</t>
        </is>
      </c>
      <c r="M43" s="47" t="n"/>
      <c r="N43" s="47" t="inlineStr">
        <is>
          <t>A5.3 a) – chat del 24/10/2026</t>
        </is>
      </c>
      <c r="O43" s="47" t="inlineStr">
        <is>
          <t>Proposta: Giuseppe deve dire quale errore iniziale tollera l'allineamento con OSM. TBC. 26/10/2026 Giuseppe (A4.5, D-064): per il confronto notturno con il riferimento 0,01° va bene (celle da 150 m, ~3 volte i 53 m di errore; l'allineamento OSM affina) 26/10/2026 Giuseppe: approvata. Di giorno 53 m = ~35 pixel PAN: finestra normale per l'aggancio a OSM. Dove mancano oggetti OSM (mare, piane allagate) la posizione resta a 53–114 m e va segnalata nel prodotto.</t>
        </is>
      </c>
    </row>
    <row r="44" ht="15" customHeight="1" s="26">
      <c r="A44" s="47" t="inlineStr">
        <is>
          <t>D-043</t>
        </is>
      </c>
      <c r="B44" s="48" t="n">
        <v>46319</v>
      </c>
      <c r="C44" s="47" t="inlineStr">
        <is>
          <t>A5</t>
        </is>
      </c>
      <c r="D44" s="47" t="inlineStr">
        <is>
          <t>Giuliano</t>
        </is>
      </c>
      <c r="E44" s="47" t="inlineStr">
        <is>
          <t>GNC</t>
        </is>
      </c>
      <c r="F44" s="47" t="inlineStr">
        <is>
          <t>Orientamento di riferimento per il dimensionamento ADCS (L1): lato lungo (454 mm) verso nadir, telescopio che guarda lungo il lato lungo, faccia 226 × 454 mm sulla velocità (0,103 m²). Inerzie come inviluppo: trasversali (rollio, beccheggio) 0,64–1,14 kg·m², asse lungo (imbardata) 0,26–0,55 kg·m² (30 kg pieno → 36 kg guscio); massimo per coppia e momento delle ruote, minimo per la deriva; pannelli dispiegabili come sensibilità (~0,055 kg·m² per kg) fino ad A5.6</t>
        </is>
      </c>
      <c r="G44" s="47" t="inlineStr">
        <is>
          <t>L2: lato lungo di traverso (telescopio in 226 mm, beccheggio sensibile ai disturbi); L3: lato lungo lungo la traccia (area 0,051 m², riapre A1-bis/D-022/D-033/D-034); valore unico d'inerzia</t>
        </is>
      </c>
      <c r="H44" s="47" t="inlineStr">
        <is>
          <t>Coerente con l'area di drag di A1 (0,1 m²) e con ΔV e propulsione già decisi; focale 0,70 m ripiegabile lungo i 454 mm come l'imager 8U di EarthNext; gradiente di gravità stabilizzante a nadir. Inviluppo entro un fattore 1,8, coerente con la Fase A</t>
        </is>
      </c>
      <c r="I44" s="47" t="inlineStr">
        <is>
          <t>A5.3 c), d), e), g); layout del telescopio (Giuseppe); A5.7</t>
        </is>
      </c>
      <c r="J44" s="47" t="inlineStr">
        <is>
          <t>DR-10, DR-11, DR-14</t>
        </is>
      </c>
      <c r="K44" s="47" t="inlineStr">
        <is>
          <t>R-01, R-06</t>
        </is>
      </c>
      <c r="L44" s="47" t="inlineStr">
        <is>
          <t>Approvata</t>
        </is>
      </c>
      <c r="M44" s="47" t="n"/>
      <c r="N44" s="47" t="inlineStr">
        <is>
          <t>A5.3 b) – chat del 24/10/2026</t>
        </is>
      </c>
      <c r="O44" s="47" t="inlineStr">
        <is>
          <t>Proposta: fissa la posizione del telescopio di Giuseppe. TBC fino ad A5.7. DA VERIFICARE IN A5.7: REGULUS lunga 250 mm (V-01, valore prudente; altra tabella T4I 200 mm) contro 226,3 mm di involucro lungo X (direzione di spinta): controllare disegno T4I e posizione dell'ugello. Idea L3 (drag dimezzato) da rivalutare in A5.7 / Fase B 26/10/2026 Giuseppe: approvata. Orientamento ok (apertura sulla faccia 226 × 226 verso nadir). Apertura PULSE 120 mm &gt; 113 mm di mezza sezione: il telescopio occupa probabilmente la sezione intera vicino al primario (R-01). Sezione e massa da Giuseppe in A5 payload.</t>
        </is>
      </c>
    </row>
    <row r="45" ht="15" customHeight="1" s="26">
      <c r="A45" s="47" t="inlineStr">
        <is>
          <t>D-044</t>
        </is>
      </c>
      <c r="B45" s="48" t="n">
        <v>46319</v>
      </c>
      <c r="C45" s="47" t="inlineStr">
        <is>
          <t>A5</t>
        </is>
      </c>
      <c r="D45" s="47" t="inlineStr">
        <is>
          <t>Giuliano</t>
        </is>
      </c>
      <c r="E45" s="47" t="inlineStr">
        <is>
          <t>GNC</t>
        </is>
      </c>
      <c r="F45" s="47" t="inlineStr">
        <is>
          <t>Profilo nominale della FMC notturna: inseguimento continuo dal bordo della finestra (F2), aggancio alla linea di vista a 0,7–1,1°/s e scatti dove conviene; il colpo rapido (F1, rampa 2–9 s a 3–7·10⁻³ N·m) si simula come caso di stress</t>
        </is>
      </c>
      <c r="G45" s="47" t="inlineStr">
        <is>
          <t>F1 come nominale; F3 aggancio anticipato di ~20–30 s</t>
        </is>
      </c>
      <c r="H45" s="47" t="inlineStr">
        <is>
          <t>DR-10 chiede un moto dolce: con F2 la coppia richiesta è ~4,6·10⁻⁴ N·m (solo curvatura della LOS), decine di secondi per assestarsi, scatti mossi ripetibili nella finestra (47,7 s a 30°, 84 s a 45°). Momento max FMC 0,029 N·m·s (velocità inerziale 1,47°/s, I = 1,14 kg·m²)</t>
        </is>
      </c>
      <c r="I45" s="47" t="inlineStr">
        <is>
          <t>Simulazione 1-asse (A5.3 c parte 2), giroscopio e star tracker ad alta velocità (A5.3 f), DR-11</t>
        </is>
      </c>
      <c r="J45" s="47" t="inlineStr">
        <is>
          <t>DR-04, DR-08, DR-10, DR-11, DR-18</t>
        </is>
      </c>
      <c r="K45" s="47" t="inlineStr">
        <is>
          <t>R-06, R-21, R-25</t>
        </is>
      </c>
      <c r="L45" s="47" t="inlineStr">
        <is>
          <t>Approvata</t>
        </is>
      </c>
      <c r="M45" s="47" t="n"/>
      <c r="N45" s="47" t="inlineStr">
        <is>
          <t>A5.3 c) – chat del 24/10/2026</t>
        </is>
      </c>
      <c r="O45" s="47" t="inlineStr">
        <is>
          <t>Riguarda solo la parte GNC: non cambia numeri di Giuseppe (10–15 scatti da 20 ms invariati). Costo: assetto a 1–1,5°/s per tutta la finestra, conoscenza affidata al giroscopio</t>
        </is>
      </c>
    </row>
    <row r="46" ht="15" customHeight="1" s="26">
      <c r="A46" s="47" t="inlineStr">
        <is>
          <t>D-045</t>
        </is>
      </c>
      <c r="B46" s="48" t="n">
        <v>46319</v>
      </c>
      <c r="C46" s="47" t="inlineStr">
        <is>
          <t>A5</t>
        </is>
      </c>
      <c r="D46" s="47" t="inlineStr">
        <is>
          <t>Giuliano</t>
        </is>
      </c>
      <c r="E46" s="47" t="inlineStr">
        <is>
          <t>GNC</t>
        </is>
      </c>
      <c r="F46" s="47" t="inlineStr">
        <is>
          <t>Requisito di agilità: slew di 45° in ≤ 60 s, assestamento escluso (S2). Coppia ≤ 1,0·10⁻³ N·m, picco 1,5°/s, momento ≤ 0,030 N·m·s</t>
        </is>
      </c>
      <c r="G46" s="47" t="inlineStr">
        <is>
          <t>S1: 45° in ≤ 120 s (un bersaglio per passaggio); S3: 45° in ≤ 30 s (0,060 N·m·s, 3°/s)</t>
        </is>
      </c>
      <c r="H46" s="47" t="inlineStr">
        <is>
          <t>Momento pari a quello della FMC: lo slew non dimensiona le ruote. Con 4 satelliti le zone lontane sono coperte dagli altri; bersagli successivi sullo stesso satellite se distanti ≳ 450 km lungo traccia</t>
        </is>
      </c>
      <c r="I46" s="47" t="inlineStr">
        <is>
          <t>Ruote (A5.3 e), DR-08</t>
        </is>
      </c>
      <c r="J46" s="47" t="inlineStr">
        <is>
          <t>DR-19, DR-08, MR-05</t>
        </is>
      </c>
      <c r="K46" s="47" t="inlineStr">
        <is>
          <t>R-06</t>
        </is>
      </c>
      <c r="L46" s="47" t="inlineStr">
        <is>
          <t>Approvata</t>
        </is>
      </c>
      <c r="M46" s="47" t="n"/>
      <c r="N46" s="47" t="inlineStr">
        <is>
          <t>A5.3 c) – chat del 24/10/2026</t>
        </is>
      </c>
      <c r="O46" s="47" t="inlineStr">
        <is>
          <t>Riguarda solo la parte GNC. Tempo di assestamento dalla simulazione (A5.3 c parte 2). A5.4.3: assestamento dopo lo slew di 45° 1,1–2,6 s (7,1 s prima del commissioning), D-057</t>
        </is>
      </c>
    </row>
    <row r="47" ht="15" customHeight="1" s="26">
      <c r="A47" s="47" t="inlineStr">
        <is>
          <t>D-046</t>
        </is>
      </c>
      <c r="B47" s="48" t="n">
        <v>46319</v>
      </c>
      <c r="C47" s="47" t="inlineStr">
        <is>
          <t>A5</t>
        </is>
      </c>
      <c r="D47" s="47" t="inlineStr">
        <is>
          <t>Giuliano</t>
        </is>
      </c>
      <c r="E47" s="47" t="inlineStr">
        <is>
          <t>GNC</t>
        </is>
      </c>
      <c r="F47" s="47" t="inlineStr">
        <is>
          <t>Robustezza del controllo all'inerzia sconosciuta (K3): banda di controllo ~1 rad/s come base, aggiornamento ≥ 10 Hz, anticipo di coppia con l'inerzia stimata in volo al commissioning (entro ~10%); banda riducibile in volo se i pannelli vibrano</t>
        </is>
      </c>
      <c r="G47" s="47" t="inlineStr">
        <is>
          <t>K1: solo banda ≥ ~1 rad/s; K2: banda 0,3 rad/s + stima dell'inerzia in volo</t>
        </is>
      </c>
      <c r="H47" s="47" t="inlineStr">
        <is>
          <t>Simulazione 1-asse: con banda 1 rad/s 0% di scatti mossi su tutto l'inviluppo (mosso peggiore 2,2–3,7 µrad MEMS, ≤ 0,5 µrad alta qualità, soglia 5,2); con 0,3 rad/s e inerzia vera +65% il 10% degli scatti è mosso e l'APE arriva a 0,22°; con inerzia nota (errore 7%) anche 0,3 rad/s rispetta DR-10. 10 Hz bastano (50 Hz non cambia). Doppia protezione a costo solo software e di commissioning</t>
        </is>
      </c>
      <c r="I47" s="47" t="inlineStr">
        <is>
          <t>Software ADCS, procedura di commissioning (stima d'inerzia), A5.3 g), Fase B (3-assi con pannelli)</t>
        </is>
      </c>
      <c r="J47" s="47" t="inlineStr">
        <is>
          <t>DR-20, DR-10, DR-15</t>
        </is>
      </c>
      <c r="K47" s="47" t="inlineStr">
        <is>
          <t>R-06</t>
        </is>
      </c>
      <c r="L47" s="47" t="inlineStr">
        <is>
          <t>Approvata</t>
        </is>
      </c>
      <c r="M47" s="47" t="n"/>
      <c r="N47" s="47" t="inlineStr">
        <is>
          <t>A5.3 c) – chat del 24/10/2026; PULSE_ADCS/A5.3 (sim1asse.py, sensibilita.py)</t>
        </is>
      </c>
      <c r="O47" s="47" t="inlineStr">
        <is>
          <t>Riguarda solo la parte GNC. Primo esito positivo per D-030 con F2 (conferma in A5.3 g) dopo disturbi e sensori). APE con MEMS 0,067–0,078° vicino al limite: da riprendere in A5.3 f)</t>
        </is>
      </c>
    </row>
    <row r="48" ht="15" customHeight="1" s="26">
      <c r="A48" s="47" t="inlineStr">
        <is>
          <t>D-047</t>
        </is>
      </c>
      <c r="B48" s="48" t="n">
        <v>46319</v>
      </c>
      <c r="C48" s="47" t="inlineStr">
        <is>
          <t>A5</t>
        </is>
      </c>
      <c r="D48" s="47" t="inlineStr">
        <is>
          <t>Giuliano</t>
        </is>
      </c>
      <c r="E48" s="47" t="inlineStr">
        <is>
          <t>Struttura</t>
        </is>
      </c>
      <c r="F48" s="47" t="inlineStr">
        <is>
          <t>Posizione del baricentro (G2): entro 10 mm dalla linea di spinta ed entro 20 mm dal centro di pressione aerodinamico, per tutta la vita (anche con lo iodio consumato). Coppie di progetto: in spinta ~2,3·10⁻⁵ N·m (1,1 mN × 10 mm + aerodinamica + magnetico), in ripresa ~1,4·10⁻⁵ N·m</t>
        </is>
      </c>
      <c r="G48" s="47" t="inlineStr">
        <is>
          <t>G1: ≤ 5 mm / ≤ 10 mm (layout e consumo dello iodio troppo vincolati); G3: solo i limiti del deployer DR-14, 45/90 mm (fino a ~1,4·10⁻⁴ N·m, ruote sature in spinta)</t>
        </is>
      </c>
      <c r="H48" s="47" t="inlineStr">
        <is>
          <t>La spinta disallineata è la coppia dominante, come in EarthNext. Con 90 mm il momento da scaricare in 4,2 h di spinta è 1,50 N·m·s, oltre i magnetorquer di classe EarthNext (2,6 A·m², 6,8·10⁻⁵–1,4·10⁻⁴ N·m di picco); con 10 mm 0,17 N·m·s, scaricabile di continuo. Ordine di grandezza coerente con EarthNext Tab. 4. Densità dimensionante 4,6·10⁻¹¹ kg/m³ (MSIS, F10.7 181, Ap 50); la simulazione F2 non cambia mosso con disturbi fino a 10⁻⁴ N·m</t>
        </is>
      </c>
      <c r="I48" s="47" t="inlineStr">
        <is>
          <t>Layout e bilanciamento (A5.7), posizione del telescopio (Giuseppe) e della REGULUS, magnetorquer (A5.3 e), DR-14</t>
        </is>
      </c>
      <c r="J48" s="47" t="inlineStr">
        <is>
          <t>DR-21, DR-14</t>
        </is>
      </c>
      <c r="K48" s="47" t="inlineStr">
        <is>
          <t>R-26, R-06</t>
        </is>
      </c>
      <c r="L48" s="47" t="inlineStr">
        <is>
          <t>Approvata</t>
        </is>
      </c>
      <c r="M48" s="47" t="n"/>
      <c r="N48" s="47" t="inlineStr">
        <is>
          <t>A5.3 d) – chat del 24/10/2026; PULSE_ADCS/A5.3/disturbi.py</t>
        </is>
      </c>
      <c r="O48" s="47" t="inlineStr">
        <is>
          <t>Proposta: vincola il layout in comune e la posizione del telescopio. DR-14 resta il limite del deployer; DR-21 è il requisito di progetto ADCS, molto più stretto. Valori TBC 26/10/2026 Giuseppe: approvata. Aggiungere al budget di massa una riga "zavorra" (TBC) come riserva per il bilanciamento.</t>
        </is>
      </c>
    </row>
    <row r="49" ht="15" customHeight="1" s="26">
      <c r="A49" s="47" t="inlineStr">
        <is>
          <t>D-048</t>
        </is>
      </c>
      <c r="B49" s="48" t="n">
        <v>46319</v>
      </c>
      <c r="C49" s="47" t="inlineStr">
        <is>
          <t>A5</t>
        </is>
      </c>
      <c r="D49" s="47" t="inlineStr">
        <is>
          <t>Giuliano</t>
        </is>
      </c>
      <c r="E49" s="47" t="inlineStr">
        <is>
          <t>GNC</t>
        </is>
      </c>
      <c r="F49" s="47" t="inlineStr">
        <is>
          <t>Ruote di reazione (W3): 4 ruote in piramide a 54,7°, classe 0,1 N·m·s / 7 mN·m; unità di riferimento per i budget BCT RWp100 (0,33 kg, &lt; 1 W a regime, picco 9 W). Momento per asse 0,163 N·m·s (0,082 con una ruota guasta) contro 0,067 richiesti. Alternativa da valutare: 4 × Rocket Lab RW-0.06 (W4)</t>
        </is>
      </c>
      <c r="G49" s="47" t="inlineStr">
        <is>
          <t>W1: 3 ortogonali classe 0,1 (nessuna ridondanza); W2: 4 in piramide classe 0,05 (0,041 N·m·s con un guasto); W4 come riferimento (0,049 con un guasto; picco 0,18 solo a 28 V)</t>
        </is>
      </c>
      <c r="H49" s="47" t="inlineStr">
        <is>
          <t>Unica opzione che rispetta il requisito anche con una ruota guasta: perdere l'ADCS significa perdere 1/4 della costellazione. Stesso criterio di D-034 (riferimento = unità più gravosa). Margine 2,4× che copre anche l'inerzia dei pannelli (TBC). Stessa classe dichiarata da EarthNext</t>
        </is>
      </c>
      <c r="I49" s="47" t="inlineStr">
        <is>
          <t>Massa (+1,32 kg con 4 ruote), potenza, volume (A5.7), jitter (A5.3 g)</t>
        </is>
      </c>
      <c r="J49" s="47" t="inlineStr">
        <is>
          <t>DR-22, DR-19, DR-11</t>
        </is>
      </c>
      <c r="K49" s="47" t="inlineStr">
        <is>
          <t>R-06</t>
        </is>
      </c>
      <c r="L49" s="47" t="inlineStr">
        <is>
          <t>Approvata</t>
        </is>
      </c>
      <c r="M49" s="47" t="n"/>
      <c r="N49" s="47" t="inlineStr">
        <is>
          <t>A5.3 e) – chat del 24/10/2026; datasheet BCT Reaction Wheels 2025, Rocket Lab RW-0.06 v3.0</t>
        </is>
      </c>
      <c r="O49" s="47" t="inlineStr">
        <is>
          <t>Riguarda solo la parte GNC. Dati BCT dichiarati indicativi dal costruttore. Jitter delle ruote da valutare in A5.3 g) (DR-02)</t>
        </is>
      </c>
    </row>
    <row r="50" ht="15" customHeight="1" s="26">
      <c r="A50" s="47" t="inlineStr">
        <is>
          <t>D-049</t>
        </is>
      </c>
      <c r="B50" s="48" t="n">
        <v>46319</v>
      </c>
      <c r="C50" s="47" t="inlineStr">
        <is>
          <t>A5</t>
        </is>
      </c>
      <c r="D50" s="47" t="inlineStr">
        <is>
          <t>Giuliano</t>
        </is>
      </c>
      <c r="E50" s="47" t="inlineStr">
        <is>
          <t>GNC</t>
        </is>
      </c>
      <c r="F50" s="47" t="inlineStr">
        <is>
          <t>Magnetorquer (M3): 3 barre, dipolo ≥ 2,5 A·m² per asse (classe EarthNext 2,6 A·m²). M2 (2,0 A·m², es. CubeSpace CR0020) resta valido se D-047 è rispettato: analisi giornaliera dello scarico durante 4,2 h di spinta</t>
        </is>
      </c>
      <c r="G50" s="47" t="inlineStr">
        <is>
          <t>M1: ~1,2 A·m² (NCTR-M012); M2 come riferimento</t>
        </is>
      </c>
      <c r="H50" s="47" t="inlineStr">
        <is>
          <t>Dipolo minimo 1,8 A·m² (2,3·10⁻⁵ N·m all'equatore, efficienza 0,5). Analisi dello scarico (dipolo inclinato, legge a prodotto vettoriale): con baricentro a 10 mm momento max 0,045 N·m·s sia con 2,0 sia con 2,5 A·m² (entro 0,052 disponibili anche con una ruota guasta); con baricentro a 20 mm (stress R-26) 0,154 con 2,0 A·m² (oltre 0,133 disponibili) e 0,116 con 2,5 A·m². Con 1,2 A·m² 0,061 già nel caso nominale. Detumbling da 10°/s (TBC) in ~1,4 orbite</t>
        </is>
      </c>
      <c r="I50" s="47" t="inlineStr">
        <is>
          <t>Massa, potenza in spinta e in safe, R-26</t>
        </is>
      </c>
      <c r="J50" s="47" t="inlineStr">
        <is>
          <t>DR-23, DR-21</t>
        </is>
      </c>
      <c r="K50" s="47" t="inlineStr">
        <is>
          <t>R-26</t>
        </is>
      </c>
      <c r="L50" s="47" t="inlineStr">
        <is>
          <t>Approvata</t>
        </is>
      </c>
      <c r="M50" s="47" t="n"/>
      <c r="N50" s="47" t="inlineStr">
        <is>
          <t>A5.3 e) – chat del 24/10/2026; PULSE_ADCS/A5.3/desaturazione.py; datasheet NewSpace, CubeSpace Gen2</t>
        </is>
      </c>
      <c r="O50" s="47" t="inlineStr">
        <is>
          <t>Riguarda solo la parte GNC. La coppia sull'asse di imbardata (Z) è la più difficile da scaricare (campo quasi parallelo); quella di beccheggio no (≤ 0,008 N·m·s). Rotazione iniziale dopo il rilascio da prendere dal manuale del deployer</t>
        </is>
      </c>
    </row>
    <row r="51" ht="15" customHeight="1" s="26">
      <c r="A51" s="47" t="inlineStr">
        <is>
          <t>D-050</t>
        </is>
      </c>
      <c r="B51" s="48" t="n">
        <v>46319</v>
      </c>
      <c r="C51" s="47" t="inlineStr">
        <is>
          <t>A5</t>
        </is>
      </c>
      <c r="D51" s="47" t="inlineStr">
        <is>
          <t>Giuliano</t>
        </is>
      </c>
      <c r="E51" s="47" t="inlineStr">
        <is>
          <t>GNC</t>
        </is>
      </c>
      <c r="F51" s="47" t="inlineStr">
        <is>
          <t>Giroscopio di riferimento (GY2): classe MEMS ad alte prestazioni, ARW ≤ 0,01°/√h (riferimento 3 × Silicon Sensing CRH03, ARW 0,006°/√h, bias 0,04°/h). Inviluppo di massa e potenza nei budget dalla classe GY3 (IMU a fibra ottica KVH 1750: 0,7 kg, 5 W). In panchina: GY3 come alternativa (al limite di DR-18); GY1 (MEMS tattico, STIM300) solo per usi fuori dalle riprese</t>
        </is>
      </c>
      <c r="G51" s="47" t="inlineStr">
        <is>
          <t>GY1 come riferimento (ARW 0,15°/√h: bande 11,7 m, TDI 3,4 pixel, shift-and-add 24 µrad; in anello chiuso deriva diurna 0,004–0,008°/s, oltre DR-05); GY3 come riferimento (0,94 m, al limite)</t>
        </is>
      </c>
      <c r="H51" s="47" t="inlineStr">
        <is>
          <t>Unica classe che rispetta DR-18 con margine (bande 0,47 m su 0,8 m; TDI 0,14 pixel; shift-and-add notturno 1,0 µrad su 5,2) e lascia intatte D-040 (C), D-030 e R-21. In anello chiuso, deriva diurna vera 0,0004–0,0006°/s (DR-05 ≤ 0,001°/s rispettato). Con GY1 cadrebbero D-040, il riallineamento su zone buie (R-21) e la somma TDI di D-032. Inviluppo GY3 per i budget come in D-034/D-048</t>
        </is>
      </c>
      <c r="I51" s="47" t="inlineStr">
        <is>
          <t>Massa (inviluppo 0,7 kg), potenza (inviluppo 5 W), D-040, D-030, D-032, R-21</t>
        </is>
      </c>
      <c r="J51" s="47" t="inlineStr">
        <is>
          <t>DR-18, DR-05, DR-16, DR-10</t>
        </is>
      </c>
      <c r="K51" s="47" t="inlineStr">
        <is>
          <t>R-21, R-25, R-27</t>
        </is>
      </c>
      <c r="L51" s="47" t="inlineStr">
        <is>
          <t>Approvata</t>
        </is>
      </c>
      <c r="M51" s="47" t="n"/>
      <c r="N51" s="47" t="inlineStr">
        <is>
          <t>A5.3 f) – chat del 24/10/2026; datasheet CRH03 (Althen), STIM300 (Safran, NovAtel), KVH 1750</t>
        </is>
      </c>
      <c r="O51" s="47" t="inlineStr">
        <is>
          <t>Riguarda solo la parte GNC: conferma le condizioni di D-040 senza cambiare i numeri di Giuseppe. Massa e potenza di CRH03 da ricavare dalle tabelle complete del datasheet. Eredità spaziale di CRH03 da verificare (R-27). Nota: il 'MEMS' della simulazione di c) vale solo per DR-10</t>
        </is>
      </c>
    </row>
    <row r="52" ht="15" customHeight="1" s="26">
      <c r="A52" s="47" t="inlineStr">
        <is>
          <t>D-051</t>
        </is>
      </c>
      <c r="B52" s="48" t="n">
        <v>46319</v>
      </c>
      <c r="C52" s="47" t="inlineStr">
        <is>
          <t>A5</t>
        </is>
      </c>
      <c r="D52" s="47" t="inlineStr">
        <is>
          <t>Giuliano</t>
        </is>
      </c>
      <c r="E52" s="47" t="inlineStr">
        <is>
          <t>GNC</t>
        </is>
      </c>
      <c r="F52" s="47" t="inlineStr">
        <is>
          <t>Star tracker (ST2): 2 teste classe Rocket Lab ST-16RT2 (5″ di traverso, 55″ di rollio, 2 Hz, fino a 3°/s, 158–235 g e &lt; 0,5 W ciascuna), orientate in direzioni diverse; con L1 almeno una verso lo zenit, parallela al telescopio</t>
        </is>
      </c>
      <c r="G52" s="47" t="inlineStr">
        <is>
          <t>ST1: una sola testa (nessuna ridondanza, accecamento negli slew a 45°); ST3: una testa classe arcsec Sagitta (2″/10″, velocità massima non dichiarata, 1,3–1,5 W)</t>
        </is>
      </c>
      <c r="H52" s="47" t="inlineStr">
        <is>
          <t>Una testa vede sempre il cielo anche con Sole, Luna o Terra nel campo; un guasto non ferma le riprese, coerente con W3. 3°/s copre la FMC (1,47°/s): lo star tracker può restare acceso in F2. AKE: 5″ (0,0014°) contro 0,01° di DR-16, margine per gli allineamenti termoelastici</t>
        </is>
      </c>
      <c r="I52" s="47" t="inlineStr">
        <is>
          <t>Massa (+0,2–0,5 kg per 2 teste), potenza (&lt; 1 W), layout (campi di vista liberi, A5.7)</t>
        </is>
      </c>
      <c r="J52" s="47" t="inlineStr">
        <is>
          <t>DR-16, DR-15</t>
        </is>
      </c>
      <c r="K52" s="47" t="inlineStr">
        <is>
          <t>R-06</t>
        </is>
      </c>
      <c r="L52" s="47" t="inlineStr">
        <is>
          <t>Approvata</t>
        </is>
      </c>
      <c r="M52" s="47" t="n"/>
      <c r="N52" s="47" t="inlineStr">
        <is>
          <t>A5.3 f) – chat del 24/10/2026; Rocket Lab star trackers product sheet; SatNow Sagitta</t>
        </is>
      </c>
      <c r="O52" s="47" t="inlineStr">
        <is>
          <t>Riguarda solo la parte GNC. Allineamento telescopio–star tracker (termoelastico) da valutare in Fase B</t>
        </is>
      </c>
    </row>
    <row r="53">
      <c r="A53" s="47" t="inlineStr">
        <is>
          <t>D-052</t>
        </is>
      </c>
      <c r="B53" s="48" t="n">
        <v>46319</v>
      </c>
      <c r="C53" s="47" t="inlineStr">
        <is>
          <t>A5</t>
        </is>
      </c>
      <c r="D53" s="47" t="inlineStr">
        <is>
          <t>Giuliano</t>
        </is>
      </c>
      <c r="E53" s="47" t="inlineStr">
        <is>
          <t>GNC</t>
        </is>
      </c>
      <c r="F53" s="47" t="inlineStr">
        <is>
          <t>Nessun giroscopio di riserva nella baseline di Fase A (B1). Idea da rivalutare in A5.7 / Fase B: GY1 (MEMS tattico, classe STIM300, &lt; 55 g, 1,5 W) come riserva a freddo per detumbling, safe, spinta e antenne, non per le riprese</t>
        </is>
      </c>
      <c r="G53" s="47" t="inlineStr">
        <is>
          <t>B2: GY1 come riserva a freddo già in baseline</t>
        </is>
      </c>
      <c r="H53" s="47" t="inlineStr">
        <is>
          <t>Volumi e layout non ancora noti (A5.7): la riserva si decide quando si vede quanto spazio resta. Il costo sarebbe piccolo (+55 g, +1,5 W)</t>
        </is>
      </c>
      <c r="I53" s="47" t="inlineStr">
        <is>
          <t>A5.7, Fase B (FDIR)</t>
        </is>
      </c>
      <c r="J53" s="47" t="inlineStr">
        <is>
          <t>DR-18</t>
        </is>
      </c>
      <c r="K53" s="47" t="inlineStr">
        <is>
          <t>R-06, R-27</t>
        </is>
      </c>
      <c r="L53" s="47" t="inlineStr">
        <is>
          <t>Approvata</t>
        </is>
      </c>
      <c r="M53" s="47" t="n"/>
      <c r="N53" s="47" t="inlineStr">
        <is>
          <t>A5.3 f) – chat del 24/10/2026</t>
        </is>
      </c>
      <c r="O53" s="47" t="inlineStr">
        <is>
          <t>Riguarda solo la parte GNC. Senza riserva, un guasto di GY2 lascia star tracker e magnetometro: satellite governabile in modo più povero, riprese di qualità perse</t>
        </is>
      </c>
    </row>
    <row r="54">
      <c r="A54" s="47" t="inlineStr">
        <is>
          <t>D-053</t>
        </is>
      </c>
      <c r="B54" s="48" t="n">
        <v>46319</v>
      </c>
      <c r="C54" s="47" t="inlineStr">
        <is>
          <t>A5</t>
        </is>
      </c>
      <c r="D54" s="47" t="inlineStr">
        <is>
          <t>Giuliano</t>
        </is>
      </c>
      <c r="E54" s="47" t="inlineStr">
        <is>
          <t>GNC</t>
        </is>
      </c>
      <c r="F54" s="47" t="inlineStr">
        <is>
          <t>Valore numerico di DR-02 (J2): ampiezza del jitter ad alta frequenza ≤ 0,15 pixel PAN (0,74 µrad), cioè ≤ 0,3 pixel picco-picco tra i passaggi del TDI; dentro una riga da 0,2 ms il mosso resta &lt; 0,1 µrad</t>
        </is>
      </c>
      <c r="G54" s="47" t="inlineStr">
        <is>
          <t>J1: 0,1 pixel (0,49 µrad, MTF ×0,975, probabilmente isolatori); J3: 0,25 pixel (1,23 µrad, MTF ×0,85)</t>
        </is>
      </c>
      <c r="H54" s="47" t="inlineStr">
        <is>
          <t>Perdita di contrasto a Nyquist piccola (MTF ×0,945: sistema da 0,28 a ~0,26) rispetto al compito (danni da ~2 m); valore verificabile in Fase B con i dati di microvibrazione delle ruote. Il vincolo vero è tra i passaggi del TDI (0,15 s), che il giroscopio non corregge</t>
        </is>
      </c>
      <c r="I54" s="47" t="inlineStr">
        <is>
          <t>Qualità d'immagine (bilancio MTF di Giuseppe), ruote e loro montaggio (Fase B), D-032</t>
        </is>
      </c>
      <c r="J54" s="47" t="inlineStr">
        <is>
          <t>DR-02, DR-12</t>
        </is>
      </c>
      <c r="K54" s="47" t="inlineStr">
        <is>
          <t>R-28, R-18</t>
        </is>
      </c>
      <c r="L54" s="47" t="inlineStr">
        <is>
          <t>Approvata</t>
        </is>
      </c>
      <c r="M54" s="47" t="n"/>
      <c r="N54" s="47" t="inlineStr">
        <is>
          <t>A5.3 g) – chat del 24/10/2026</t>
        </is>
      </c>
      <c r="O54" s="47" t="inlineStr">
        <is>
          <t>Proposta: fissa un pezzo del bilancio di qualità dell'immagine di Giuseppe. Dati di sbilanciamento delle ruote non pubblicati nei datasheet: verifica in Fase B. A5.4.5: stima a corpo rigido del jitter delle ruote e requisito di bilanciamento in D-059. A 8600 giri/min (143 Hz) il mosso in una riga da 0,2 ms è ≤ 0,18 × ampiezza = 0,13 µrad 26/10/2026 Giuseppe: approvata. MTF a Nyquist da 0,28 a ~0,26 accettata. Il bilancio MTF payload va completato in A5 payload (mosso lungo traccia dello scatto da 0,2 ms ≈ 1 pixel, ×0,64).</t>
        </is>
      </c>
    </row>
    <row r="55">
      <c r="A55" s="47" t="inlineStr">
        <is>
          <t>D-054</t>
        </is>
      </c>
      <c r="B55" s="48" t="n">
        <v>46319</v>
      </c>
      <c r="C55" s="47" t="inlineStr">
        <is>
          <t>A5</t>
        </is>
      </c>
      <c r="D55" s="47" t="inlineStr">
        <is>
          <t>Giuliano</t>
        </is>
      </c>
      <c r="E55" s="47" t="inlineStr">
        <is>
          <t>GNC</t>
        </is>
      </c>
      <c r="F55" s="47" t="inlineStr">
        <is>
          <t>Compensazione della deriva laterale dovuta alla rotazione terrestre (Y3): yaw steering in ripresa diurna (imbardata di 2,4–2,9°, variabile lentamente con la latitudine) più correzione a bordo del residuo nella traslazione di D-040</t>
        </is>
      </c>
      <c r="G55" s="47" t="inlineStr">
        <is>
          <t>Y1: solo yaw steering; Y2: solo correzione a bordo (2,8% di strisciata a colori persa, più lavoro sulla scheda)</t>
        </is>
      </c>
      <c r="H55" s="47" t="inlineStr">
        <is>
          <t>Senza compensazione il terreno si sposta di traverso di 51 m (34 pixel) tra i passaggi TDI e di 270 m tra PAN e ultima banda. Lo yaw steering costa quasi nulla all'ADCS ed è la pratica standard; la traslazione a bordo esiste già (D-040), quindi il residuo non aggiunge funzioni</t>
        </is>
      </c>
      <c r="I55" s="47" t="inlineStr">
        <is>
          <t>Guida d'assetto in ripresa diurna, D-040, D-032</t>
        </is>
      </c>
      <c r="J55" s="47" t="inlineStr">
        <is>
          <t>DR-24, DR-05</t>
        </is>
      </c>
      <c r="K55" s="47" t="inlineStr">
        <is>
          <t>R-15</t>
        </is>
      </c>
      <c r="L55" s="47" t="inlineStr">
        <is>
          <t>Approvata</t>
        </is>
      </c>
      <c r="M55" s="47" t="n"/>
      <c r="N55" s="47" t="inlineStr">
        <is>
          <t>A5.3 g) – chat del 24/10/2026; PULSE_ADCS/A5.3/rotazione.py</t>
        </is>
      </c>
      <c r="O55" s="47" t="inlineStr">
        <is>
          <t>Riguarda la parte GNC e riduce il lavoro di Giuseppe: da comunicargli</t>
        </is>
      </c>
    </row>
    <row r="56">
      <c r="A56" s="47" t="inlineStr">
        <is>
          <t>D-055</t>
        </is>
      </c>
      <c r="B56" s="48" t="n">
        <v>46319</v>
      </c>
      <c r="C56" s="47" t="inlineStr">
        <is>
          <t>A5</t>
        </is>
      </c>
      <c r="D56" s="47" t="inlineStr">
        <is>
          <t>Giuliano</t>
        </is>
      </c>
      <c r="E56" s="47" t="inlineStr">
        <is>
          <t>Gestione</t>
        </is>
      </c>
      <c r="F56" s="47" t="inlineStr">
        <is>
          <t>Scopo di A5.4 riformulato (S3): i tre punti previsti (valore di DR-02, scelta per DR-05, stabilità nella FMC notturna) risultano già trattati in A5.3 (D-053, D-040, DR-10/DR-11 verificati; D-030 e D-031 approvate). A5.4 diventa: tabella unica del puntamento per modo (APE, AKE, deriva, jitter) + chiusura dei buchi: DR-08, geometria della FMC e imbardata, puntamento fuori dalle riprese, jitter delle ruote</t>
        </is>
      </c>
      <c r="G56" s="47" t="inlineStr">
        <is>
          <t>S1: chiudere A5.4 come già fatto in A5.3; S2: solo tabella di consolidamento senza chiudere i buchi</t>
        </is>
      </c>
      <c r="H56" s="47" t="inlineStr">
        <is>
          <t>Requisiti di puntamento completi e verificati per la PRR; i buchi rimasti (DR-08 TBC, modi senza valori, jitter solo dichiarato) si chiudevano con poco lavoro e con i risultati di simulazione già disponibili</t>
        </is>
      </c>
      <c r="I56" s="47" t="inlineStr">
        <is>
          <t>A5.4, report A5, PRR</t>
        </is>
      </c>
      <c r="J56" s="47" t="inlineStr">
        <is>
          <t>DR-02, DR-05, DR-08, DR-10, DR-11</t>
        </is>
      </c>
      <c r="K56" s="47" t="n"/>
      <c r="L56" s="47" t="inlineStr">
        <is>
          <t>Approvata</t>
        </is>
      </c>
      <c r="M56" s="47" t="n"/>
      <c r="N56" s="47" t="inlineStr">
        <is>
          <t>A5.4 – chat del 24/10/2026</t>
        </is>
      </c>
      <c r="O56" s="47" t="inlineStr">
        <is>
          <t>Riguarda solo la parte GNC. La descrizione di A5.4 nel piano di A5 (DR-05 tra 0,0002°/s e 0,001°/s con riallineamento a terra; D-030/D-031 aperte) non era più aggiornata</t>
        </is>
      </c>
    </row>
    <row r="57">
      <c r="A57" s="47" t="inlineStr">
        <is>
          <t>D-056</t>
        </is>
      </c>
      <c r="B57" s="48" t="n">
        <v>46319</v>
      </c>
      <c r="C57" s="47" t="inlineStr">
        <is>
          <t>A5</t>
        </is>
      </c>
      <c r="D57" s="47" t="inlineStr">
        <is>
          <t>Giuliano</t>
        </is>
      </c>
      <c r="E57" s="47" t="inlineStr">
        <is>
          <t>GNC</t>
        </is>
      </c>
      <c r="F57" s="47" t="inlineStr">
        <is>
          <t>Riallineamento a bordo (G4): bande RGB-NIR, passaggi TDI e scatti notturni dello shift-and-add si riallineano con un modello geometrico completo (orbita GNSS, assetto misurato da giroscopio e star tracker, DEM di bordo), cioè la stessa funzione di ortorettifica di MR-10, e non con una traslazione unica; in FMC notturna fuori nadir la guida comanda l'imbardata che annulla la rotazione della scena (0,39°/s a 30°, 0,56°/s a 45°). Resta la deriva diurna ≤ 0,001°/s (opzione C di D-040)</t>
        </is>
      </c>
      <c r="G57" s="47" t="inlineStr">
        <is>
          <t>G1: sola traslazione (metodo di D-040); G2: omografia del piano senza DEM; G3: geometria + DEM senza legge d'imbardata</t>
        </is>
      </c>
      <c r="H57" s="47" t="inlineStr">
        <is>
          <t>Con la sola traslazione, a 30° di traverso il bordo del campo si sposta di 45 µrad nella raffica città (soglia 5,2) e di 67 µrad nella raffica paesi (soglia 10,5); va bene solo a nadir entro ±0,7–1,1 s dal passaggio. Parallasse del rilievo senza DEM: dislivello ammesso ~50 m sulle bande, ~120 m sul TDI, ~300 m di notte (Appennino oltre). Con il DEM il residuo è &lt; 0,3 µrad. La legge d'imbardata riporta il singolo scatto a 45° da 6,4 a 4,6 µrad (soglia 5,2) e costa ≤ 0,006 N·m·s</t>
        </is>
      </c>
      <c r="I57" s="47" t="inlineStr">
        <is>
          <t>Scheda di bordo (calcolo del riallineamento in tempo reale, DR-13), guida d'assetto in FMC, D-030, D-032, MR-10</t>
        </is>
      </c>
      <c r="J57" s="47" t="inlineStr">
        <is>
          <t>DR-05, DR-25, DR-26, DR-13, DR-17, DR-18, MR-10</t>
        </is>
      </c>
      <c r="K57" s="47" t="inlineStr">
        <is>
          <t>R-15, R-21, R-25, R-29</t>
        </is>
      </c>
      <c r="L57" s="47" t="inlineStr">
        <is>
          <t>Approvata</t>
        </is>
      </c>
      <c r="M57" s="47" t="n"/>
      <c r="N57" s="47" t="inlineStr">
        <is>
          <t>A5.4 – chat del 24/10/2026; PULSE_ADCS/A5.4 (geometria_fmc.py)</t>
        </is>
      </c>
      <c r="O57" s="47" t="inlineStr">
        <is>
          <t>Proposta: cambia il metodo di riallineamento della scheda di Giuseppe (D-030, D-032) e sostituisce D-040. La deriva e il giroscopio (D-050) restano invariati. Carico indicativo: ~210 Mpixel/s di notte a 1×1 (4,2 Mpixel a 50 immagini/s), da valutare da Giuseppe 26/10/2026 Giuseppe: approvata. Già seguita in A4 (risolve R-21). Carico scheda: il caso diurno (~630 Mpixel/s in ingresso) supera il notturno (~210); valutare elaborazione in memoria tra due bersagli (notte ~1,3 Mpixel/s medi). Dimensionamento in A5 payload (DR-13).</t>
        </is>
      </c>
    </row>
    <row r="58">
      <c r="A58" s="47" t="inlineStr">
        <is>
          <t>D-057</t>
        </is>
      </c>
      <c r="B58" s="48" t="n">
        <v>46319</v>
      </c>
      <c r="C58" s="47" t="inlineStr">
        <is>
          <t>A5</t>
        </is>
      </c>
      <c r="D58" s="47" t="inlineStr">
        <is>
          <t>Giuliano</t>
        </is>
      </c>
      <c r="E58" s="47" t="inlineStr">
        <is>
          <t>GNC</t>
        </is>
      </c>
      <c r="F58" s="47" t="inlineStr">
        <is>
          <t>DR-08 riformulato (T2): la manovra si completa prima della finestra (slew diurno di 45° ≤ 60 s, DR-19; aggancio notturno della linea di vista con profilo dolce ≤ 120 s); dentro la finestra assestamento + ripresa ≤ 10 s (finestra 47,7 s a 30°, 84 s a 45°)</t>
        </is>
      </c>
      <c r="G58" s="47" t="inlineStr">
        <is>
          <t>T1: lasciare DR-08 com'è (≤ 50 s a 30°, ≤ 90 s a 45°) e segnarlo verificato</t>
        </is>
      </c>
      <c r="H58" s="47" t="inlineStr">
        <is>
          <t>Simulazione 1-asse con GY2: assestamento diurno 1,1–2,6 s dopo il commissioning (7,1 s prima, con inerzia nominale), notturno ~0 s; ripresa 0,36 s di notte, ~2,2 s di giorno (scena di 10 km + 0,79 s di bande). Il vincolo vero è tra due bersagli successivi: distanza minima tra bersagli notturni dello stesso satellite ~370–660 km (limite ideale)</t>
        </is>
      </c>
      <c r="I58" s="47" t="inlineStr">
        <is>
          <t>Pianificazione delle riprese (A6, Fase B), R-06</t>
        </is>
      </c>
      <c r="J58" s="47" t="inlineStr">
        <is>
          <t>DR-08, DR-19, DR-11</t>
        </is>
      </c>
      <c r="K58" s="47" t="inlineStr">
        <is>
          <t>R-06</t>
        </is>
      </c>
      <c r="L58" s="47" t="inlineStr">
        <is>
          <t>Approvata</t>
        </is>
      </c>
      <c r="M58" s="47" t="n"/>
      <c r="N58" s="47" t="inlineStr">
        <is>
          <t>A5.4 – chat del 24/10/2026; PULSE_ADCS/A5.4 (assestamento.py)</t>
        </is>
      </c>
      <c r="O58" s="47" t="inlineStr">
        <is>
          <t>Riguarda solo la parte GNC. Verifica 3-assi in Fase B</t>
        </is>
      </c>
    </row>
    <row r="59">
      <c r="A59" s="47" t="inlineStr">
        <is>
          <t>D-058</t>
        </is>
      </c>
      <c r="B59" s="48" t="n">
        <v>46319</v>
      </c>
      <c r="C59" s="47" t="inlineStr">
        <is>
          <t>A5</t>
        </is>
      </c>
      <c r="D59" s="47" t="inlineStr">
        <is>
          <t>Giuliano</t>
        </is>
      </c>
      <c r="E59" s="47" t="inlineStr">
        <is>
          <t>GNC</t>
        </is>
      </c>
      <c r="F59" s="47" t="inlineStr">
        <is>
          <t>Puntamento fuori dalle riprese, valori provvisori (V2): spinta entro 5° dalla velocità; capacità di inseguire una stazione di terra con errore ≤ 1° (uso deciso nel passo TT&amp;C con la scelta dell'antenna); safe mode con Sole entro 15° dalla normale dei pannelli e AKE ≤ 1° (come EarthNext)</t>
        </is>
      </c>
      <c r="G59" s="47" t="inlineStr">
        <is>
          <t>V1: stretti (spinta ≤ 1°, inseguimento della stazione obbligatorio, Sole ≤ 5°); V3: tutto TBD fino al passo TT&amp;C e ad A5.6</t>
        </is>
      </c>
      <c r="H59" s="47" t="inlineStr">
        <is>
          <t>Spinta: 5° costano lo 0,38% del ΔV (0,85 m/s in vita su 45 m/s di margine). Contatti: con antenna fissa a nadir e fascio ±60° resta il 29–37% del tempo di contatto, con ±70° il 97–98% (durate GMAT). Safe: 15° → 96,6% della potenza dei pannelli</t>
        </is>
      </c>
      <c r="I59" s="47" t="inlineStr">
        <is>
          <t>Potenza (A5.6), TT&amp;C (antenne, link budget), operazioni (contatti contro spinta, R-14)</t>
        </is>
      </c>
      <c r="J59" s="47" t="inlineStr">
        <is>
          <t>DR-27, DR-28, DR-29, DR-37</t>
        </is>
      </c>
      <c r="K59" s="47" t="inlineStr">
        <is>
          <t>R-07, R-14</t>
        </is>
      </c>
      <c r="L59" s="47" t="inlineStr">
        <is>
          <t>Approvata</t>
        </is>
      </c>
      <c r="M59" s="47" t="n"/>
      <c r="N59" s="47" t="inlineStr">
        <is>
          <t>A5.4 – chat del 24/10/2026; PULSE_ADCS/A5.4 (altri_modi.py)</t>
        </is>
      </c>
      <c r="O59" s="47" t="inlineStr">
        <is>
          <t>Proposta: il puntamento in safe entra nel bilancio di potenza in comune (A5.6). Valori TBC 26/10/2026 Giuseppe: approvata. Aggiunto DR-37: il Sole non deve mai entrare nel telescopio (angolo TBD), coperchio chiuso in safe e fino al commissioning. Potenza dei riscaldatori di sopravvivenza payload in safe da Giuseppe (A5 payload).</t>
        </is>
      </c>
    </row>
    <row r="60" s="26">
      <c r="A60" s="47" t="inlineStr">
        <is>
          <t>D-059</t>
        </is>
      </c>
      <c r="B60" s="48" t="n">
        <v>46319</v>
      </c>
      <c r="C60" s="47" t="inlineStr">
        <is>
          <t>A5</t>
        </is>
      </c>
      <c r="D60" s="47" t="inlineStr">
        <is>
          <t>Giuliano</t>
        </is>
      </c>
      <c r="E60" s="47" t="inlineStr">
        <is>
          <t>GNC</t>
        </is>
      </c>
      <c r="F60" s="47" t="inlineStr">
        <is>
          <t>Jitter delle ruote (J-b): requisito di acquisto per ruota Us ≤ 1 g·mm e Ud ≤ 10 g·mm²; ruote entro 10 cm dal baricentro; nessuna risonanza della struttura (telescopio, pannelli) nella banda di velocità delle ruote, oppure velocità operative che la evitano; isolatori come riserva</t>
        </is>
      </c>
      <c r="G60" s="47" t="inlineStr">
        <is>
          <t>J-a: rinvio alla Fase B senza nuovi requisiti; J-c: isolatori di serie nella baseline</t>
        </is>
      </c>
      <c r="H60" s="47" t="inlineStr">
        <is>
          <t>Corpo rigido θ = (Ud + Us·d)/I: con ruote ben bilanciate (dati CubeSpace) 0,03–0,25 µrad per 4 ruote contro 0,74 µrad di DR-02; con il solo obiettivo NASA per CubeSat (1,5 g·mm, 20 g·mm²) 0,53 µrad. Una risonanza con Q oltre ~4–20 supera DR-02. Sbilanciamento della RWp100 non pubblicato</t>
        </is>
      </c>
      <c r="I60" s="47" t="inlineStr">
        <is>
          <t>Scelta e acquisto delle ruote, layout (A5.7), progetto strutturale (Fase B), D-048, D-053</t>
        </is>
      </c>
      <c r="J60" s="47" t="inlineStr">
        <is>
          <t>DR-30, DR-02, DR-38</t>
        </is>
      </c>
      <c r="K60" s="47" t="inlineStr">
        <is>
          <t>R-28</t>
        </is>
      </c>
      <c r="L60" s="47" t="inlineStr">
        <is>
          <t>Approvata</t>
        </is>
      </c>
      <c r="M60" s="47" t="n"/>
      <c r="N60" s="47" t="inlineStr">
        <is>
          <t>A5.4 – chat del 24/10/2026; PULSE_ADCS/A5.4 (jitter_ruote.py)</t>
        </is>
      </c>
      <c r="O60" s="47" t="inlineStr">
        <is>
          <t>Proposta: la posizione delle ruote vincola il layout in comune (A5.7). Da chiedere al costruttore lo sbilanciamento della RWp100 26/10/2026 Giuseppe: approvata. Aggiunto DR-38: prima frequenza propria del telescopio fuori dalla banda di velocità delle ruote (TBD, Fase B). Centro del satellite conteso tra ruote, iodio e telescopio: da vedere insieme in A5.7.</t>
        </is>
      </c>
    </row>
    <row r="61">
      <c r="A61" s="47" t="inlineStr">
        <is>
          <t>D-060</t>
        </is>
      </c>
      <c r="B61" s="48" t="n">
        <v>46321</v>
      </c>
      <c r="C61" s="47" t="inlineStr">
        <is>
          <t>A4</t>
        </is>
      </c>
      <c r="D61" s="47" t="inlineStr">
        <is>
          <t>Giuseppe</t>
        </is>
      </c>
      <c r="E61" s="47" t="inlineStr">
        <is>
          <t>AI / Dati</t>
        </is>
      </c>
      <c r="F61" s="47" t="inlineStr">
        <is>
          <t>Casi di progetto per la conferma del blackout (opzione B): il metodo deve riconoscere nuvole spesse e sottili, nebbia, luna, neve e illuminazione pubblica ridotta; in questi casi l'allarme diventa "non confermabile", mai "blackout". Fumo: con un incendio nella zona l'allarme è "non confermabile". Scatti mal riallineati: controllo di qualità a bordo</t>
        </is>
      </c>
      <c r="G61" s="47" t="inlineStr">
        <is>
          <t>A: tutti gli 8 casi di progetto (fumo e neve troppo complessi già in Fase A); C: solo nuvole spesse e luna (nebbia e luci ridotte inventano blackout, contro D-013)</t>
        </is>
      </c>
      <c r="H61" s="47" t="inlineStr">
        <is>
          <t>Copre i casi frequenti in Italia (nebbia padana, luna, neve alpina) e tutti quelli che possono inventare un blackout; fumo e artefatti si gestiscono con regole semplici</t>
        </is>
      </c>
      <c r="I61" s="47" t="inlineStr">
        <is>
          <t>A4.2–A4.6 (riferimento, nuvole, luna, soglia, catena di conferma); scheda AI (controllo di qualità)</t>
        </is>
      </c>
      <c r="J61" s="47" t="inlineStr">
        <is>
          <t>MR-07</t>
        </is>
      </c>
      <c r="K61" s="47" t="inlineStr">
        <is>
          <t>R-03, R-16, R-21, R-30, R-31</t>
        </is>
      </c>
      <c r="L61" s="47" t="inlineStr">
        <is>
          <t>Approvata</t>
        </is>
      </c>
      <c r="M61" s="47" t="n"/>
      <c r="N61" s="47" t="inlineStr">
        <is>
          <t>Report A4, A4.1</t>
        </is>
      </c>
      <c r="O61" s="47" t="inlineStr">
        <is>
          <t>Riguarda solo payload/AI. Passaggio notturno sull'Italia ~22:00–22:10 ora solare (~21:45–22:45 d'inverno, ~22:45–23:45 d'estate in ora legale): stima di primo ordine da far confermare a Giuliano con GMAT 26/10/2026 Giuliano: ora confermata con le uscite GMAT (gen 2026, 4 satelliti, 5 bersagli). Al nadir 22:10 (36,6°N) → 22:01 (47,1°N) ora solare media (LTAN 22:30, i = 96,8°); centro degli accessi 21:54–22:18 a 30°, 21:47–22:23 a 45°; ora civile 21:54–22:50 CET, 22:54–23:50 CEST. Orbita eliosincrona: stessa ora tutto l'anno.</t>
        </is>
      </c>
    </row>
    <row r="62">
      <c r="A62" s="47" t="inlineStr">
        <is>
          <t>D-061</t>
        </is>
      </c>
      <c r="B62" s="48" t="n">
        <v>46321</v>
      </c>
      <c r="C62" s="47" t="inlineStr">
        <is>
          <t>A4</t>
        </is>
      </c>
      <c r="D62" s="47" t="inlineStr">
        <is>
          <t>Giuseppe</t>
        </is>
      </c>
      <c r="E62" s="47" t="inlineStr">
        <is>
          <t>AI / Dati</t>
        </is>
      </c>
      <c r="F62" s="47" t="inlineStr">
        <is>
          <t>Riferimento "prima" (opzione D): mappe notturne VIIRS Black Marble mensili/annuali (~500 m) come base per tutta Italia; immagini PULSE di notti normali (4,8 m, raccolte senza luna e senza nuvole su città e zone a rischio) come riferimento principale dove esistono; vettori OSM per sapere dove aspettarsi luce</t>
        </is>
      </c>
      <c r="G62" s="47" t="inlineStr">
        <is>
          <t>A: solo OSM (non misura il calo, falsi allarmi su zone normalmente spente); B: solo VIIRS (solo blackout ≥ ~1 km); C: solo PULSE pre-evento (anni per coprire l'Italia, assente nei primi mesi)</t>
        </is>
      </c>
      <c r="H62" s="47" t="inlineStr">
        <is>
          <t>Riferimento ovunque dal lancio, dettaglio a 4,8 m dove serve; le immagini PULSE misurano anche la differenza città per città tra le 22 (PULSE) e l'01:30 (VIIRS)</t>
        </is>
      </c>
      <c r="I62" s="47" t="inlineStr">
        <is>
          <t>A4.3–A4.6; memoria di bordo o a terra (A4.6, D-008); piano di raccolta notturna e scarico (Giuliano)</t>
        </is>
      </c>
      <c r="J62" s="47" t="inlineStr">
        <is>
          <t>MR-07</t>
        </is>
      </c>
      <c r="K62" s="47" t="inlineStr">
        <is>
          <t>R-03, R-30, R-32, R-33</t>
        </is>
      </c>
      <c r="L62" s="47" t="inlineStr">
        <is>
          <t>Approvata</t>
        </is>
      </c>
      <c r="M62" s="47" t="n"/>
      <c r="N62" s="47" t="inlineStr">
        <is>
          <t>Report A4, A4.2</t>
        </is>
      </c>
      <c r="O62" s="47" t="inlineStr">
        <is>
          <t>VIIRS Italia ~22 MB per mappa a 15″ (~270 MB per 12 mesi). Bias orario VIIRS 01:30 vs PULSE ~22:00 nel verso sicuro (blackout sottostimato, non inventato). Raccolta delle immagini d'archivio: tempo notturno, manovre e scarico da concordare con Giuliano (TBC in A4.6)</t>
        </is>
      </c>
    </row>
    <row r="63">
      <c r="A63" s="47" t="inlineStr">
        <is>
          <t>D-062</t>
        </is>
      </c>
      <c r="B63" s="48" t="n">
        <v>46321</v>
      </c>
      <c r="C63" s="47" t="inlineStr">
        <is>
          <t>A4</t>
        </is>
      </c>
      <c r="D63" s="47" t="inlineStr">
        <is>
          <t>Giuseppe</t>
        </is>
      </c>
      <c r="E63" s="47" t="inlineStr">
        <is>
          <t>AI / Dati</t>
        </is>
      </c>
      <c r="F63" s="47" t="inlineStr">
        <is>
          <t>Riconoscimento delle nuvole di notte (opzione D): a bordo indizi nell'immagine (nitidezza delle luci rispetto al riferimento, bordo della zona buia lungo strade OSM, nuvole illuminate dalla luna); a terra maschera nuvole Meteosat MTG (infrarosso, ogni 10 min, ~2–3 km) entro ±10 min dal passaggio. Conferma solo se i due controlli sono d'accordo; casi dubbi: seconda ripresa quando possibile, altrimenti "non confermabile"</t>
        </is>
      </c>
      <c r="G63" s="47" t="inlineStr">
        <is>
          <t>A: solo meteo MTG (nebbia incerta, pixel 2–3 km); B: solo indizi a bordo (debole con scena tutta coperta); C: solo seconda ripresa (rara, manovre, ritardo); sensore infrarosso a bordo (contro D-010)</t>
        </is>
      </c>
      <c r="H63" s="47" t="inlineStr">
        <is>
          <t>Due controlli indipendenti: un falso blackout richiede l'errore di entrambi (D-013); MTG gratuito e quasi in tempo reale, non costa nulla al satellite</t>
        </is>
      </c>
      <c r="I63" s="47" t="inlineStr">
        <is>
          <t>Scheda AI (indizi a bordo); catena a terra (MTG); A4.6; GNC per la seconda ripresa</t>
        </is>
      </c>
      <c r="J63" s="47" t="inlineStr">
        <is>
          <t>MR-07</t>
        </is>
      </c>
      <c r="K63" s="47" t="inlineStr">
        <is>
          <t>R-03, R-34</t>
        </is>
      </c>
      <c r="L63" s="47" t="inlineStr">
        <is>
          <t>Approvata</t>
        </is>
      </c>
      <c r="M63" s="47" t="n"/>
      <c r="N63" s="47" t="inlineStr">
        <is>
          <t>Report A4, A4.3</t>
        </is>
      </c>
      <c r="O63" s="47" t="inlineStr">
        <is>
          <t>Seconda ripresa: satellite successivo dopo 22,6 min, tracce distanti ~470 km a 42°N, possibile solo a ≥ ~38° off-nadir (modalità degradata notturna, MR-05) per ~1/3 dei bersagli; uso da confermare con Giuliano (TBC). Accesso ai dati MTG EUMETSAT da verificare 26/10/2026 Giuliano (D-066, Proposta): seconda ripresa pianificata in anticipo dove la geometria lo permette. Frazione dei casi da GMAT: 16% (19/120) partendo da prime riprese ≤ 30°, 28% (59/209) da ≤ 45°, non ~1/3 (limite geometrico ideale); intervallo 21,6–23,2 min.</t>
        </is>
      </c>
    </row>
    <row r="64">
      <c r="A64" s="47" t="inlineStr">
        <is>
          <t>D-063</t>
        </is>
      </c>
      <c r="B64" s="48" t="n">
        <v>46321</v>
      </c>
      <c r="C64" s="47" t="inlineStr">
        <is>
          <t>A4</t>
        </is>
      </c>
      <c r="D64" s="47" t="inlineStr">
        <is>
          <t>Giuseppe</t>
        </is>
      </c>
      <c r="E64" s="47" t="inlineStr">
        <is>
          <t>AI / Dati</t>
        </is>
      </c>
      <c r="F64" s="47" t="inlineStr">
        <is>
          <t>Luce lunare (opzione C): il fondo lunare si misura nella stessa immagine su zone vicine non illuminate (campi, da OSM e VIIRS), corretto con l'albedo del suolo da immagini diurne (PULSE o Sentinel-2), e si sottrae prima del confronto con il riferimento. Con neve e luna i paesi sono "non confermabili"; i quartieri restano confermabili</t>
        </is>
      </c>
      <c r="G64" s="47" t="inlineStr">
        <is>
          <t>A: ignorare la luna (paesi spenti persi nelle notti di luna); B: fondo calcolato con modello (errore ~30%, paesi solo fino a ~2 nW); D: nessuna conferma sui paesi con fondo &gt; 1 nW (~5 notti al mese perse)</t>
        </is>
      </c>
      <c r="H64" s="47" t="inlineStr">
        <is>
          <t>Errore sul fondo ~10% (ipotesi): con il fondo massimo di 4,5 nW l'incertezza è ~0,45 nW contro i 5 nW del paese (rapporto ~11). La luna aiuta anche a vedere le nuvole (D-062)</t>
        </is>
      </c>
      <c r="I64" s="47" t="inlineStr">
        <is>
          <t>Scheda AI (stima del fondo); mappa di albedo (memoria, A4.6); A4.5 soglia</t>
        </is>
      </c>
      <c r="J64" s="47" t="inlineStr">
        <is>
          <t>MR-07</t>
        </is>
      </c>
      <c r="K64" s="47" t="inlineStr">
        <is>
          <t>R-16, R-35</t>
        </is>
      </c>
      <c r="L64" s="47" t="inlineStr">
        <is>
          <t>Approvata</t>
        </is>
      </c>
      <c r="M64" s="47" t="n"/>
      <c r="N64" s="47" t="inlineStr">
        <is>
          <t>Report A4, A4.4</t>
        </is>
      </c>
      <c r="O64" s="47" t="inlineStr">
        <is>
          <t>Calcolo 2027–2028 a 42°N, ~22:05 ora solare: luna sopra l'orizzonte nel 49% dei passaggi; fondo &gt; 1 nW nel 17% delle notti (~5/mese), &gt; 2,5 nW nel 6% (~2/mese); massimo 4,5 nW (estate 1,9). Il valore di 7 nW di A3 era con la luna allo zenit e senza atmosfera. Neve + luna ~24 nW. Errore 10% da verificare in Fase B</t>
        </is>
      </c>
    </row>
    <row r="65">
      <c r="A65" s="47" t="inlineStr">
        <is>
          <t>D-064</t>
        </is>
      </c>
      <c r="B65" s="48" t="n">
        <v>46321</v>
      </c>
      <c r="C65" s="47" t="inlineStr">
        <is>
          <t>A4</t>
        </is>
      </c>
      <c r="D65" s="47" t="inlineStr">
        <is>
          <t>Giuseppe</t>
        </is>
      </c>
      <c r="E65" s="47" t="inlineStr">
        <is>
          <t>AI / Dati</t>
        </is>
      </c>
      <c r="F65" s="47" t="inlineStr">
        <is>
          <t>Soglia "zona spenta" (opzione B): blackout se la luce, tolto il fondo lunare, cala di almeno il 70% rispetto al riferimento; calo tra 40% e 70% = "calo parziale", segnalato come informazione e non come allarme. Area minima: con riferimento PULSE celle da 150 m e allarme se almeno 2 × 2 celle vicine sono spente (~300 × 300 m); con solo VIIRS almeno 2 × 2 pixel VIIRS (~1 × 1 km)</t>
        </is>
      </c>
      <c r="G65" s="47" t="inlineStr">
        <is>
          <t>A: calo ≥ 50% (notte normale con luci ridotte = falso allarme, contro D-013); C: calo ≥ 90% (perde i blackout con auto e generatori accesi)</t>
        </is>
      </c>
      <c r="H65" s="47" t="inlineStr">
        <is>
          <t>Notte normale nel caso peggiore: calo ~60% (riduzione di flusso 50% + variazione tra notti ~20%, ipotesi); blackout vero nel caso peggiore: calo ~71% (luci residue 10–20% + errore lunare ~9%, ipotesi). La soglia del 70% sta tra i due</t>
        </is>
      </c>
      <c r="I65" s="47" t="inlineStr">
        <is>
          <t>Scheda AI; A4.6; risposta a D-042 (cella 150 m ≈ 3 volte l'errore di 53 m)</t>
        </is>
      </c>
      <c r="J65" s="47" t="inlineStr">
        <is>
          <t>MR-07</t>
        </is>
      </c>
      <c r="K65" s="47" t="inlineStr">
        <is>
          <t>R-30, R-32, R-36</t>
        </is>
      </c>
      <c r="L65" s="47" t="inlineStr">
        <is>
          <t>Approvata</t>
        </is>
      </c>
      <c r="M65" s="47" t="n"/>
      <c r="N65" s="47" t="inlineStr">
        <is>
          <t>Report A4, A4.5</t>
        </is>
      </c>
      <c r="O65" s="47" t="inlineStr">
        <is>
          <t>Margine stretto verso i blackout con molte luci rimaste: valori da tarare in Fase B su blackout reali. Per A4 la conoscenza d'assetto di 0,01° (D-042) va bene</t>
        </is>
      </c>
    </row>
    <row r="66" s="26">
      <c r="A66" s="47" t="inlineStr">
        <is>
          <t>D-065</t>
        </is>
      </c>
      <c r="B66" s="48" t="n">
        <v>46321</v>
      </c>
      <c r="C66" s="47" t="inlineStr">
        <is>
          <t>A4</t>
        </is>
      </c>
      <c r="D66" s="47" t="inlineStr">
        <is>
          <t>Giuseppe</t>
        </is>
      </c>
      <c r="E66" s="47" t="inlineStr">
        <is>
          <t>AI / Dati</t>
        </is>
      </c>
      <c r="F66" s="47" t="inlineStr">
        <is>
          <t>Catena di conferma ibrida (opzione C): a bordo primo filtro (riferimento VIIRS, mappa di albedo, OSM, fondo lunare, indizi nuvole, soglia D-064) che produce zone candidate; si scaricano vettori + ritaglio della zona (~0,26 MB per 2 × 2 km); a terra conferma finale con archivio PULSE e maschera MTG. Etichette: blackout confermato / calo parziale / non confermabile / nessun calo. A bordo si aggiungono a OSM + DEM (D-008) le mappe VIIRS (~22 MB a stagione) e l'albedo a 100 m (~30 MB)</t>
        </is>
      </c>
      <c r="G66" s="47" t="inlineStr">
        <is>
          <t>A: tutto a bordo (archivio PULSE di GB da caricare e aggiornare via radio sui 4 satelliti); B: tutto a terra (scena intera 1,6–6,3 MB per ogni ripresa notturna, scheda AI inutilizzata di notte, contro lo spirito di D-007)</t>
        </is>
      </c>
      <c r="H66" s="47" t="inlineStr">
        <is>
          <t>Scarico piccolo, archivio grande solo a terra, la scheda AI fa il primo filtro; dalla ripresa alle zone candidate a terra ~10 min (Fucino ancora in vista 48–195 s dopo la ripresa; Svalbard 5,4–7,9 min dopo, contatto 213–263 s; GMAT gen 2026, 4 satelliti), consegna ~20–30 min con la maschera MTG (TBC). Le 48 h di MR-02 si contano dalla richiesta: attesa del passaggio verificata in A1</t>
        </is>
      </c>
      <c r="I66" s="47" t="inlineStr">
        <is>
          <t>Memoria di bordo (+~50–300 MB, integra D-008); scarico (Giuliano: ritagli + scene di archivio); pianificazione delle riprese di archivio nelle notti libere (Giuliano)</t>
        </is>
      </c>
      <c r="J66" s="47" t="inlineStr">
        <is>
          <t>MR-07, MR-09, DR-31…DR-36</t>
        </is>
      </c>
      <c r="K66" s="47" t="inlineStr">
        <is>
          <t>R-03, R-37</t>
        </is>
      </c>
      <c r="L66" s="47" t="inlineStr">
        <is>
          <t>Approvata</t>
        </is>
      </c>
      <c r="M66" s="47" t="n"/>
      <c r="N66" s="47" t="inlineStr">
        <is>
          <t>Report A4, A4.6</t>
        </is>
      </c>
      <c r="O66" s="47" t="inlineStr">
        <is>
          <t>Proposta: tocca il volume da scaricare e la pianificazione notturna di Giuliano (riprese di archivio) e integra D-008 (decisione comune) 26/10/2026 Giuliano: approvata (opzione A), con la latenza corretta nel motivo. La stima precedente (~9–10 h, contatto entro 8,8 h) usava il buco massimo della rete, che inizia subito dopo il contatto Svalbard della notte. Scarico delle scene d'archivio: D-067; seconda ripresa: D-066.</t>
        </is>
      </c>
    </row>
    <row r="67" s="26">
      <c r="A67" s="47" t="inlineStr">
        <is>
          <t>D-066</t>
        </is>
      </c>
      <c r="B67" s="48" t="n">
        <v>46321</v>
      </c>
      <c r="C67" s="47" t="inlineStr">
        <is>
          <t>A4</t>
        </is>
      </c>
      <c r="D67" s="47" t="inlineStr">
        <is>
          <t>Giuliano</t>
        </is>
      </c>
      <c r="E67" s="47" t="inlineStr">
        <is>
          <t>GNC</t>
        </is>
      </c>
      <c r="F67" s="47" t="inlineStr">
        <is>
          <t>Seconda ripresa notturna per i casi dubbi (B): pianificata in anticipo, il satellite successivo riprende lo stesso bersaglio notturno quando entrambi lo vedono entro 45° off-nadir (modalità degradata, MR-05) e lo slot è libero; la ripresa si usa a terra solo se serve. Seconda ripresa su richiesta nella stessa notte (C) da valutare in Fase B</t>
        </is>
      </c>
      <c r="G67" s="47" t="inlineStr">
        <is>
          <t>A: nessuna seconda ripresa (dubbi "non confermabile" fino alla notte dopo); C: seconda ripresa su richiesta nella stessa notte (scarico via Fucino, controllo MTG, comando al satellite successivo in ~22 min), rimandata alla Fase B</t>
        </is>
      </c>
      <c r="H67" s="47" t="inlineStr">
        <is>
          <t>GMAT (gen 2026, 4 satelliti, 5 bersagli): seconda ripresa possibile nel 16% dei casi (19/120) partendo da prime riprese ≤ 30°, nel 28% (59/209) da ≤ 45°; intervallo 21,6–23,2 min. Lato GNC ok a 38–45°: finestra 84 s a 45° (D-044), scatto singolo 4,6 µrad su 5,2 con la legge d'imbardata (D-056). B non richiede un giro veloce a terra; C lascerebbe ~22 min per scarico, maschera MTG (latenza TBC) e comando, con Fucino usato anche per i dati</t>
        </is>
      </c>
      <c r="I67" s="47" t="inlineStr">
        <is>
          <t>Pianificazione delle riprese notturne (A6, Fase B), slot del satellite successivo, D-062, catena a terra (D-065)</t>
        </is>
      </c>
      <c r="J67" s="47" t="inlineStr">
        <is>
          <t>DR-39, MR-05, MR-07, DR-11</t>
        </is>
      </c>
      <c r="K67" s="47" t="inlineStr">
        <is>
          <t>R-38, R-34</t>
        </is>
      </c>
      <c r="L67" s="47" t="inlineStr">
        <is>
          <t>Approvata</t>
        </is>
      </c>
      <c r="M67" s="47" t="n"/>
      <c r="N67" s="47" t="inlineStr">
        <is>
          <t>Chat del 26/10/2026; uscite GMAT PULSE*_accessi_30deg / 45deg</t>
        </is>
      </c>
      <c r="O67" s="47" t="inlineStr">
        <is>
          <t>Proposta: corregge la frazione di casi di D-062 (~1/3 → 16–28%) e occupa slot del satellite successivo nel piano di Giuseppe. Distanza minima tra bersagli notturni dello stesso satellite ~370–660 km (D-057) da rispettare nella pianificazione 29/10/2026 Giuseppe: approvata.</t>
        </is>
      </c>
    </row>
    <row r="68" s="26">
      <c r="A68" s="47" t="inlineStr">
        <is>
          <t>D-067</t>
        </is>
      </c>
      <c r="B68" s="48" t="n">
        <v>46321</v>
      </c>
      <c r="C68" s="47" t="inlineStr">
        <is>
          <t>A4</t>
        </is>
      </c>
      <c r="D68" s="47" t="inlineStr">
        <is>
          <t>Giuliano</t>
        </is>
      </c>
      <c r="E68" s="47" t="inlineStr">
        <is>
          <t>TT&amp;C / Terra</t>
        </is>
      </c>
      <c r="F68" s="47" t="inlineStr">
        <is>
          <t>Scarico delle scene notturne d'archivio (DR-36), opzione b: in coda a bassa priorità ai contatti successivi, entro 24 h, mai prima di allarmi e zone candidate (DR-35). Opzione a (contatto Svalbard della stessa notte, subito dopo le zone candidate) da rivalutare in A5.5 con la capacità di scarico. Numero di scene per notte da fissare in A5.5</t>
        </is>
      </c>
      <c r="G68" s="47" t="inlineStr">
        <is>
          <t>a: contatto Svalbard della stessa notte (da rivalutare in A5.5)</t>
        </is>
      </c>
      <c r="H68" s="47" t="inlineStr">
        <is>
          <t>Le scene d'archivio (1,6–6,3 MB) non hanno urgenza; il contatto Svalbard dopo il passaggio notturno dura 213–263 s ed è quello degli allarmi. Stima di primo ordine: 2–4 scene per satellite che attraversa l'Italia (~1.180 km lungo traccia, 370–660 km tra bersagli, D-057), senza nuvole, luna e potenza</t>
        </is>
      </c>
      <c r="I68" s="47" t="inlineStr">
        <is>
          <t>Budget dati e capacità di scarico (A5.5), pianificazione notturna, R-37</t>
        </is>
      </c>
      <c r="J68" s="47" t="inlineStr">
        <is>
          <t>DR-36, DR-35</t>
        </is>
      </c>
      <c r="K68" s="47" t="inlineStr">
        <is>
          <t>R-37</t>
        </is>
      </c>
      <c r="L68" s="47" t="inlineStr">
        <is>
          <t>Superata</t>
        </is>
      </c>
      <c r="M68" s="47" t="inlineStr">
        <is>
          <t>D-083</t>
        </is>
      </c>
      <c r="N68" s="47" t="inlineStr">
        <is>
          <t>Chat del 26/10/2026</t>
        </is>
      </c>
      <c r="O68" s="47" t="inlineStr">
        <is>
          <t>Riguarda solo lo scarico (parte di Giuliano): non cambia numeri di Giuseppe. Se A5.5 mostra margine nel contatto notturno, passare ad a per far crescere prima l'archivio (R-37) | 30/10/2026: superata da D-083 (scarico nello stesso contatto notturno, capacità verificata in A5.5.5).</t>
        </is>
      </c>
    </row>
    <row r="69">
      <c r="A69" s="47" t="inlineStr">
        <is>
          <t>D-068</t>
        </is>
      </c>
      <c r="B69" s="48" t="n">
        <v>46325</v>
      </c>
      <c r="C69" s="47" t="inlineStr">
        <is>
          <t>A5</t>
        </is>
      </c>
      <c r="D69" s="47" t="inlineStr">
        <is>
          <t>Giuliano</t>
        </is>
      </c>
      <c r="E69" s="47" t="inlineStr">
        <is>
          <t>TT&amp;C / Terra</t>
        </is>
      </c>
      <c r="F69" s="47" t="inlineStr">
        <is>
          <t>Antenne TT&amp;C (A4): baseline con due antenne a basso guadagno quasi omnidirezionali, una sulla faccia a nadir e una sulla faccia a zenit (classe EarthNext, 2 antenne S), che coprono qualunque assetto (riprese, spinta, safe, detumbling). Il puntamento della stazione (DR-28) resta come modo opzionale, da usare solo se A5.5.2 sceglie la banda X; antenne UHF eventuali (A5.5.2) omnidirezionali in aggiunta</t>
        </is>
      </c>
      <c r="G69" s="47" t="inlineStr">
        <is>
          <t>A1: una patch fissa a nadir ±60° (29–37% del contatto, niente collegamento in safe); A2: solo due antenne a basso guadagno, senza modo di puntamento; A3: antenna a guadagno medio con satellite che punta la stazione (niente spinta né riprese durante il contatto, DR-37 da verificare, serve comunque un'antenna per il safe)</t>
        </is>
      </c>
      <c r="H69" s="47" t="inlineStr">
        <is>
          <t>Comandi e telemetria disponibili in ogni assetto, anche in safe e durante la spinta (con L1 l'assetto di spinta è anche a nadir): nessun conflitto con R-14. Con fascio ±70° resta il 97–98% del contatto (71 min/giorno per satellite, GMAT gen 2026). Costo: a 10° di elevazione distanza 1.166 km contro 302 km allo zenit, 11,7 dB in più di perdita, da coprire nel link budget (A5.5.4). Il puntamento della stazione non richiede hardware: linea di vista max 1,47°/s, 0,029 N·m·s, 4,6·10⁻⁴ N·m, come la FMC (D-044, ruote D-048)</t>
        </is>
      </c>
      <c r="I69" s="47" t="inlineStr">
        <is>
          <t>Link budget (A5.5.4), massa e potenza TT&amp;C (A5.6, A5.7), layout della faccia a nadir (Giuseppe), DR-28</t>
        </is>
      </c>
      <c r="J69" s="47" t="inlineStr">
        <is>
          <t>DR-28, DR-40, DR-29</t>
        </is>
      </c>
      <c r="K69" s="47" t="inlineStr">
        <is>
          <t>R-14, R-39</t>
        </is>
      </c>
      <c r="L69" s="47" t="inlineStr">
        <is>
          <t>Approvata</t>
        </is>
      </c>
      <c r="M69" s="47" t="n"/>
      <c r="N69" s="47" t="inlineStr">
        <is>
          <t>A5.5.3 – chat del 30/10/2026; PULSE_ADCS A5.5 (antenne_geometria.py, conflitti.py)</t>
        </is>
      </c>
      <c r="O69" s="47" t="inlineStr">
        <is>
          <t>Proposta: l'antenna a nadir occupa spazio sulla faccia dell'apertura del telescopio (Giuseppe, superficie libera e compatibilità elettromagnetica TBC). Fucino è in vista durante il 100% delle riprese sull'Italia (giorno e notte): un comando da Fucino in quel passaggio richiede che l'antenna veda Fucino mentre si punta il bersaglio (geometria TBC). Di notte Svalbard arriva 5,0–7,9 min dopo la ripresa; di giorno il primo contatto principale 77 min dopo | 30/10/2026: posizione dell'antenna a nadir nella striscia libera di D-078 con patch compatta (D-080). Approvazione formale di Giuseppe da registrare (D-078 la presuppone). | Antenna a nadir: D-080. | 30/10/2026 Giuseppe: approvata (antenna a nadir nella striscia libera di D-078, patch ≤ 60 mm di D-080). | 30/10/2026 (D-082): l'UHF di riserva aggiunge un'antenna dispiegabile omnidirezionale.</t>
        </is>
      </c>
    </row>
    <row r="70">
      <c r="A70" s="47" t="inlineStr">
        <is>
          <t>D-069</t>
        </is>
      </c>
      <c r="B70" s="48" t="n">
        <v>46325</v>
      </c>
      <c r="C70" s="47" t="inlineStr">
        <is>
          <t>A5</t>
        </is>
      </c>
      <c r="D70" s="47" t="inlineStr">
        <is>
          <t>Giuliano</t>
        </is>
      </c>
      <c r="E70" s="47" t="inlineStr">
        <is>
          <t>TT&amp;C / Terra</t>
        </is>
      </c>
      <c r="F70" s="47" t="inlineStr">
        <is>
          <t>Discesa in banda S (V3): velocità nominale 4,3 Mbit/s utili (OQPSK 5 Msym/s, codifica CCSDS convoluzionale r1/2 + RS(255,223)) dall'inizio alla fine del contatto, con discesa automatica ai passi più bassi (2,15 / 1,08 / 0,54 Mbit/s…) se il margine cala (pioggia, stazione più piccola, antenna degradata). Unità di riferimento per i budget: classe ISIS TXS2 (132 g, 13 W in trasmissione, 1,5 W in attesa); trasmettitore spento tra i contatti. Salita S 64–256 kbit/s (ricevitore da scegliere); UHF 9.600 bit/s a 400,15–401 MHz se adottata (A5.5.2)</t>
        </is>
      </c>
      <c r="G70" s="47" t="inlineStr">
        <is>
          <t>V1: velocità fissa ~1 Mbit/s (margine 13,9 dB, ~0,5 GB/giorno); V2: 4,3 Mbit/s fissi senza ripiego</t>
        </is>
      </c>
      <c r="H70" s="47" t="inlineStr">
        <is>
          <t>Link budget a 10° (1.166 km, patch −0,8 dBic modello, stazione KSAT 3,7 m G/T 12,6 dB/K): C/N0 78,6 dB-Hz, 13 Mbit/s possibili con 3 dB di margine; il limite è la radio. A 4,3 Mbit/s margine 7,8 dB a 10°. Capacità ~2.030 MB/giorno per satellite (71 min/giorno, 30 s di aggancio per contatto, GMAT gen 2026). Salita: 64–256 kbit/s con 17–23 dB di margine. UHF 9.600 bit/s: margine 4,8 dB (G/T stazione stimata), ~4 MB/giorno</t>
        </is>
      </c>
      <c r="I70" s="47" t="inlineStr">
        <is>
          <t>Scelta delle bande (A5.5.2: soglia per la banda X ~2 GB/giorno per satellite), bilancia dei dati (A5.5.5), potenza (A5.6: ~15 Wh/giorno in trasmissione), massa (A5.7), licenza di frequenza</t>
        </is>
      </c>
      <c r="J70" s="47" t="inlineStr">
        <is>
          <t>DR-41, DR-40, DR-35, DR-36</t>
        </is>
      </c>
      <c r="K70" s="47" t="inlineStr">
        <is>
          <t>R-40</t>
        </is>
      </c>
      <c r="L70" s="47" t="inlineStr">
        <is>
          <t>Approvata</t>
        </is>
      </c>
      <c r="M70" s="47" t="n"/>
      <c r="N70" s="47" t="inlineStr">
        <is>
          <t>A5.5.4 – chat del 30/10/2026; datasheet ISIS TXS2, ISIS S-band patch, ISIS VHF/UHF; NTNU wiki (KSAT S-band)</t>
        </is>
      </c>
      <c r="O70" s="47" t="inlineStr">
        <is>
          <t>Riguarda solo TT&amp;C (parte di Giuliano). Da verificare: G/T reale delle antenne di Svalbard, Fairbanks e Fucino; larghezza di banda in licenza (~6,8 MHz a 5 Msym/s con roll-off 0,35). 435–438 MHz è banda amatoriale: non usabile</t>
        </is>
      </c>
    </row>
    <row r="71">
      <c r="A71" s="47" t="inlineStr">
        <is>
          <t>D-070</t>
        </is>
      </c>
      <c r="B71" s="48" t="n">
        <v>46325</v>
      </c>
      <c r="C71" s="47" t="inlineStr">
        <is>
          <t>A5</t>
        </is>
      </c>
      <c r="D71" s="47" t="inlineStr">
        <is>
          <t>Giuseppe</t>
        </is>
      </c>
      <c r="E71" s="47" t="inlineStr">
        <is>
          <t>AI / Dati</t>
        </is>
      </c>
      <c r="F71" s="47" t="inlineStr">
        <is>
          <t>Allarme diurno = vettore (~5–20 kB) + ritaglio di 1 × 1 km (pancromatico + 4 bande, senza perdita, ~0,67 MB). Zone più grandi con più ritagli affiancati. Se i ritagli di una scena superano la scena intera compressa (~31 MB), si scarica la scena intera</t>
        </is>
      </c>
      <c r="G71" s="47" t="inlineStr">
        <is>
          <t>Ritaglio 0,5 km (0,17 MB, contesto spesso insufficiente); ritaglio 2 km (2,7 MB, 10 allarmi = 27 MB, quasi come la scena intera)</t>
        </is>
      </c>
      <c r="H71" s="47" t="inlineStr">
        <is>
          <t>Basta per vedere la zona e i dintorni e resta leggero anche in emergenza (10 allarmi = 6,7 MB)</t>
        </is>
      </c>
      <c r="I71" s="47" t="inlineStr">
        <is>
          <t>Volume di scarico (A5.5, Giuliano)</t>
        </is>
      </c>
      <c r="J71" s="47" t="inlineStr">
        <is>
          <t>DR-42</t>
        </is>
      </c>
      <c r="K71" s="47" t="n"/>
      <c r="L71" s="47" t="inlineStr">
        <is>
          <t>Approvata</t>
        </is>
      </c>
      <c r="M71" s="47" t="n"/>
      <c r="N71" s="47" t="inlineStr">
        <is>
          <t>Chat del 30/10/2026 (A5.P1)</t>
        </is>
      </c>
      <c r="O71" s="47" t="inlineStr">
        <is>
          <t>Allarmi per scena: 0–2 di solito, fino a ~10 in emergenza (stima). Proposta: tocca il volume da scaricare | 30/10/2026 Giuliano: approvata. 10 allarmi = 6,9 MB, ~13 s a 4,3 Mbit/s (D-069).</t>
        </is>
      </c>
    </row>
    <row r="72">
      <c r="A72" s="47" t="inlineStr">
        <is>
          <t>D-071</t>
        </is>
      </c>
      <c r="B72" s="48" t="n">
        <v>46324</v>
      </c>
      <c r="C72" s="47" t="inlineStr">
        <is>
          <t>A5</t>
        </is>
      </c>
      <c r="D72" s="47" t="inlineStr">
        <is>
          <t>Giuseppe</t>
        </is>
      </c>
      <c r="E72" s="47" t="inlineStr">
        <is>
          <t>AI / Dati</t>
        </is>
      </c>
      <c r="F72" s="47" t="inlineStr">
        <is>
          <t>Compressione a bordo mista: senza perdita (~2:1) per ritagli d'allarme, scene notturne e immagini di calibrazione; quasi senza perdita (~4:1, errore massimo 1–2 livelli su 4096, sotto il rumore del sensore) per le scene diurne intere (125 → ~31 MB per 9,7 × 9,7 km). Rapporti TBC fino alla scelta della scheda (A5.P3)</t>
        </is>
      </c>
      <c r="G72" s="47" t="inlineStr">
        <is>
          <t>Tutto senza perdita (~2:1: scena diurna 63 MB, scarico doppio); tutto quasi senza perdita (piccolo errore anche su notte e calibrazione, dove il segnale è debole); con perdita ~8:1 (16 MB, artefatti sui dettagli, verifica dell'AI meno affidabile)</t>
        </is>
      </c>
      <c r="H72" s="47" t="inlineStr">
        <is>
          <t>Comprime dove pesa (scene diurne) e lascia intatti allarmi, notte e calibrazione</t>
        </is>
      </c>
      <c r="I72" s="47" t="inlineStr">
        <is>
          <t>Volume di scarico (A5.5, Giuliano); carico di calcolo della scheda (A5.P3)</t>
        </is>
      </c>
      <c r="J72" s="47" t="inlineStr">
        <is>
          <t>DR-43</t>
        </is>
      </c>
      <c r="K72" s="47" t="inlineStr">
        <is>
          <t>R-41</t>
        </is>
      </c>
      <c r="L72" s="47" t="inlineStr">
        <is>
          <t>Approvata</t>
        </is>
      </c>
      <c r="M72" s="47" t="n"/>
      <c r="N72" s="47" t="inlineStr">
        <is>
          <t>Chat del 29/10/2026 (A5.P1)</t>
        </is>
      </c>
      <c r="O72" s="47" t="inlineStr">
        <is>
          <t>Scena diurna 9,7 × 9,7 km a 12 bit: pan 6464 × 6467 px = 62,7 MB + RGB-NIR 4 × 3232 × 3233 = 62,7 MB. Rapporti tipici degli standard CCSDS, da verificare su immagini reali 30/10/2026: ID rinumerato (era D-068) per un conflitto di numerazione tra le due copie del registro.</t>
        </is>
      </c>
    </row>
    <row r="73">
      <c r="A73" s="47" t="inlineStr">
        <is>
          <t>D-072</t>
        </is>
      </c>
      <c r="B73" s="48" t="n">
        <v>46324</v>
      </c>
      <c r="C73" s="47" t="inlineStr">
        <is>
          <t>A5</t>
        </is>
      </c>
      <c r="D73" s="47" t="inlineStr">
        <is>
          <t>Giuseppe</t>
        </is>
      </c>
      <c r="E73" s="47" t="inlineStr">
        <is>
          <t>AI / Dati</t>
        </is>
      </c>
      <c r="F73" s="47" t="inlineStr">
        <is>
          <t>Scene diurne intere per la verifica dell'AI (dimostratore): 4 al giorno per satellite nei primi 3 mesi di operazioni (~124 MB/giorno compresse, D-071), poi 1 al giorno (~31 MB/giorno). Le scene notturne intere sono già coperte dall'archivio (D-067)</t>
        </is>
      </c>
      <c r="G73" s="47" t="inlineStr">
        <is>
          <t>1 ogni 2 giorni (~16 MB/giorno, verifica dell'AI lenta); 1 al giorno sempre (~31 MB/giorno); 4 al giorno sempre (~124 MB/giorno per tutta la missione)</t>
        </is>
      </c>
      <c r="H73" s="47" t="inlineStr">
        <is>
          <t>Molti esempi quando l'AI va verificata e aggiornata, volume leggero in routine; due casi chiari per il link budget</t>
        </is>
      </c>
      <c r="I73" s="47" t="inlineStr">
        <is>
          <t>Volume di scarico e scelta S / S+X (A5.5, Giuliano); pianificazione delle riprese diurne</t>
        </is>
      </c>
      <c r="J73" s="47" t="inlineStr">
        <is>
          <t>DR-44</t>
        </is>
      </c>
      <c r="K73" s="47" t="n"/>
      <c r="L73" s="47" t="inlineStr">
        <is>
          <t>Approvata</t>
        </is>
      </c>
      <c r="M73" s="47" t="n"/>
      <c r="N73" s="47" t="inlineStr">
        <is>
          <t>Chat del 29/10/2026 (A5.P1)</t>
        </is>
      </c>
      <c r="O73" s="47" t="inlineStr">
        <is>
          <t>Proposta: fissa un volume che Giuliano deve scaricare. 4 scene al giorno = circa tutte le occasioni di un passaggio diurno sull'Italia (TBC con Giuliano) 30/10/2026: ID rinumerato (era D-069) per un conflitto di numerazione tra le due copie del registro. | 30/10/2026 Giuliano: approvata. Inteso come "fino a 4" scene al giorno per satellite: stima di primo ordine (orbita semplice 30 giorni, Italia come poligono, raggio 310 km, bersagli a ≥ 450 km lungo traccia, D-045) 0,9 passaggi diurni sull'Italia al giorno per satellite, ~1.100 km utili lungo traccia, in media 2,7 scene/giorno, 4 nel 40% dei giorni, alcuni giorni 0. Il valore 4 resta nel budget come caso conservativo; bersagli vicini alla traccia (manovre più piccole) ne permettono di più, da vedere in A6.</t>
        </is>
      </c>
    </row>
    <row r="74">
      <c r="A74" s="47" t="inlineStr">
        <is>
          <t>D-073</t>
        </is>
      </c>
      <c r="B74" s="48" t="n">
        <v>46325</v>
      </c>
      <c r="C74" s="47" t="inlineStr">
        <is>
          <t>A5</t>
        </is>
      </c>
      <c r="D74" s="47" t="inlineStr">
        <is>
          <t>Giuliano</t>
        </is>
      </c>
      <c r="E74" s="47" t="inlineStr">
        <is>
          <t>TT&amp;C / Terra</t>
        </is>
      </c>
      <c r="F74" s="47" t="inlineStr">
        <is>
          <t>Priorità della coda di scarico (P2): classi 1) stato del satellite in tempo reale, 2) allarmi diurni e zone notturne candidate, 3) telemetria registrata, 4) immagini di validazione e commissioning, 5) archivio notturno; un dato in coda da oltre 24 h sale di una classe; l'ordine si può cambiare da terra</t>
        </is>
      </c>
      <c r="G74" s="47" t="inlineStr">
        <is>
          <t>P1: classi fisse senza invecchiamento (archivio fermo a lungo, R-37); P3: ordine deciso da terra a ogni contatto (lavoro operativo, coda ferma se il caricamento salta)</t>
        </is>
      </c>
      <c r="H74" s="47" t="inlineStr">
        <is>
          <t>Gli allarmi passano sempre per primi (0,26 MB = 0,5 s a 4,3 Mbit/s); l'invecchiamento garantisce lo scarico dell'archivio entro le 24 h di D-067. L'ordine conta solo quando la coda supera il contatto (~150 MB in 4,7 min)</t>
        </is>
      </c>
      <c r="I74" s="47" t="inlineStr">
        <is>
          <t>Software di bordo (gestione della memoria), scheda AI (etichette di classe sui prodotti), D-067, R-37</t>
        </is>
      </c>
      <c r="J74" s="47" t="inlineStr">
        <is>
          <t>DR-45, DR-35, DR-36</t>
        </is>
      </c>
      <c r="K74" s="47" t="inlineStr">
        <is>
          <t>R-37</t>
        </is>
      </c>
      <c r="L74" s="47" t="inlineStr">
        <is>
          <t>Approvata</t>
        </is>
      </c>
      <c r="M74" s="47" t="n"/>
      <c r="N74" s="47" t="inlineStr">
        <is>
          <t>A5.5.6 – chat del 30/10/2026; PULSE A5.5 (spinta_passaggi.py)</t>
        </is>
      </c>
      <c r="O74" s="47" t="inlineStr">
        <is>
          <t>Proposta: fissa l'ordine di scarico dei prodotti di Giuseppe (validazione, archivio) 30/10/2026: ID rinumerato (era D-070) per un conflitto di numerazione tra le due copie del registro. | 30/10/2026 Giuseppe: approvata.</t>
        </is>
      </c>
    </row>
    <row r="75">
      <c r="A75" s="47" t="inlineStr">
        <is>
          <t>D-074</t>
        </is>
      </c>
      <c r="B75" s="48" t="n">
        <v>46325</v>
      </c>
      <c r="C75" s="47" t="inlineStr">
        <is>
          <t>A5</t>
        </is>
      </c>
      <c r="D75" s="47" t="inlineStr">
        <is>
          <t>Giuliano</t>
        </is>
      </c>
      <c r="E75" s="47" t="inlineStr">
        <is>
          <t>Propulsione</t>
        </is>
      </c>
      <c r="F75" s="47" t="inlineStr">
        <is>
          <t>Spinta e passaggi sull'Italia (S3): spinta vietata da N min prima a 5 min dopo i soli passaggi con ripresa pianificata (coperchio chiuso in spinta, D-034); un comando di emergenza interrompe subito la spinta (motore spento, coperchio aperto). N dall'analisi termica del payload (TBC)</t>
        </is>
      </c>
      <c r="G75" s="47" t="inlineStr">
        <is>
          <t>S1: divieto prima di ogni passaggio sull'Italia (prudente ma inutilmente rigido); S2: divieto solo prima delle riprese pianificate, senza interruzione per emergenza</t>
        </is>
      </c>
      <c r="H75" s="47" t="inlineStr">
        <is>
          <t>Tempo abbondante: con divieto da 60 min prima (5 bersagli, 1,33 passaggi/giorno, GMAT gen 2026) restano 22,4 h/giorno, 21,7 h con 90 min; per tutta l'Italia (2–3 passaggi/giorno, stima) &gt; ~20 h, contro 4,2 h (Sole medio) e 7,8 h (Sole alto) di spinta. Con D-068 contatti e spinta convivono. Se l'emergenza arriva meno di N min prima del passaggio, la prima ripresa può essere degradata</t>
        </is>
      </c>
      <c r="I75" s="47" t="inlineStr">
        <is>
          <t>Piano operativo (R-14), termico del payload (N), potenza in eclissi (A5.6), software di bordo</t>
        </is>
      </c>
      <c r="J75" s="47" t="inlineStr">
        <is>
          <t>DR-46, DR-37</t>
        </is>
      </c>
      <c r="K75" s="47" t="inlineStr">
        <is>
          <t>R-14</t>
        </is>
      </c>
      <c r="L75" s="47" t="inlineStr">
        <is>
          <t>Approvata</t>
        </is>
      </c>
      <c r="M75" s="47" t="n"/>
      <c r="N75" s="47" t="inlineStr">
        <is>
          <t>A5.5.6 – chat del 30/10/2026; PULSE A5.5 (spinta_passaggi.py)</t>
        </is>
      </c>
      <c r="O75" s="47" t="inlineStr">
        <is>
          <t>Proposta: N dipende dall'analisi termica di Giuseppe; l'apertura rapida del coperchio tocca il suo payload. Vincolo vero da verificare in A5.6: spinta da 50 W in eclissi 30/10/2026: ID rinumerato (era D-071) per un conflitto di numerazione tra le due copie del registro. | 30/10/2026 Giuseppe: approvata; N TBC fino all'analisi termica del payload (A5.P7). | 30/10/2026 (D-099, Proposta): N = 30 minuti (TBC) dal termico del payload (A5.P7). | 30/10/2026 (D-099): N = 30 min (TBC, da misurare al commissioning)</t>
        </is>
      </c>
    </row>
    <row r="76">
      <c r="A76" s="47" t="inlineStr">
        <is>
          <t>D-075</t>
        </is>
      </c>
      <c r="B76" s="48" t="n">
        <v>46325</v>
      </c>
      <c r="C76" s="47" t="inlineStr">
        <is>
          <t>A5</t>
        </is>
      </c>
      <c r="D76" s="47" t="inlineStr">
        <is>
          <t>Giuliano</t>
        </is>
      </c>
      <c r="E76" s="47" t="inlineStr">
        <is>
          <t>TT&amp;C / Terra</t>
        </is>
      </c>
      <c r="F76" s="47" t="inlineStr">
        <is>
          <t>Comandi (F1): piano delle riprese per le 24 h successive caricato a ogni contatto utile da Svalbard o Fairbanks; Fucino come riserva e per i comandi nei passaggi senza ripresa; comandi autenticati e cifrati (CCSDS SDLS). Scarico delle zone notturne anche da Fucino (F3) da valutare in Fase B</t>
        </is>
      </c>
      <c r="G76" s="47" t="inlineStr">
        <is>
          <t>F2: comandi da Fucino nello stesso passaggio della ripresa (pianificazione in pochi secondi, geometria antenna–Fucino da verificare); F3 rimandata alla Fase B (allarmi notturni ~6 min prima, guadagno minimo)</t>
        </is>
      </c>
      <c r="H76" s="47" t="inlineStr">
        <is>
          <t>Catena di comando già verificata in A1 (90% entro 17–28 h, Fucino non cambia la latenza); 16,7 contatti/giorno per satellite. Il collo di bottiglia è il passaggio sul bersaglio, non il caricamento del comando</t>
        </is>
      </c>
      <c r="I76" s="47" t="inlineStr">
        <is>
          <t>Centro di controllo, software di bordo (piano a tempo), sicurezza dei comandi, D-016</t>
        </is>
      </c>
      <c r="J76" s="47" t="inlineStr">
        <is>
          <t>DR-47, MR-02</t>
        </is>
      </c>
      <c r="K76" s="47" t="inlineStr">
        <is>
          <t>R-08</t>
        </is>
      </c>
      <c r="L76" s="47" t="inlineStr">
        <is>
          <t>Approvata</t>
        </is>
      </c>
      <c r="M76" s="47" t="n"/>
      <c r="N76" s="47" t="inlineStr">
        <is>
          <t>A5.5.6 – chat del 30/10/2026; PULSE A5.5 (spinta_passaggi.py)</t>
        </is>
      </c>
      <c r="O76" s="47" t="inlineStr">
        <is>
          <t>Riguarda solo TT&amp;C e operazioni (parte di Giuliano) 30/10/2026: ID rinumerato (era D-072) per un conflitto di numerazione tra le due copie del registro. | 30/10/2026 (D-081, G2): F3 anticipata in Fase A solo per gli allarmi diurni (Fucino nello stesso passaggio, quando la finestra lo permette); per la notte resta Svalbard.</t>
        </is>
      </c>
    </row>
    <row r="77">
      <c r="A77" s="47" t="inlineStr">
        <is>
          <t>D-076</t>
        </is>
      </c>
      <c r="B77" s="48" t="n">
        <v>46325</v>
      </c>
      <c r="C77" s="47" t="inlineStr">
        <is>
          <t>A5</t>
        </is>
      </c>
      <c r="D77" s="47" t="inlineStr">
        <is>
          <t>Giuseppe</t>
        </is>
      </c>
      <c r="E77" s="47" t="inlineStr">
        <is>
          <t>Payload</t>
        </is>
      </c>
      <c r="F77" s="47" t="inlineStr">
        <is>
          <t>Telescopio TMA in asse a tre specchi (tipo Korsch: primario concavo con foro centrale, secondario al centro, specchio piatto di rinvio, terziario), apertura 12 cm, focale 0,70 m (A2 invariati). Ingombro stimato ~14 × 14 × 20 cm più paraluce (per confronto con Simera TriScape100/200), massa da stimare in A5.P4</t>
        </is>
      </c>
      <c r="G77" s="47" t="inlineStr">
        <is>
          <t>TMA fuori asse 12 cm (scalando l'imager EarthNext, 8U per 8,3 cm / f 500 mm, servirebbero ~12–14U su 16); TMA fuori asse ~8 cm (entra in 8U ma diffrazione ~2,4 m e metà luce: A2 e A3 da rifare)</t>
        </is>
      </c>
      <c r="H77" s="47" t="inlineStr">
        <is>
          <t>Unica soluzione che tiene l'apertura da 12 cm (quindi GSD di A2 e SNR di A3) dentro il 16U e lascia spazio sulla faccia a nadir</t>
        </is>
      </c>
      <c r="I77" s="47" t="inlineStr">
        <is>
          <t>Volume e layout (A5.7, Giuliano); campo per i sensori affiancati (D-027); SNR notturno (ombra del secondario ~9%, D-077)</t>
        </is>
      </c>
      <c r="J77" s="47" t="inlineStr">
        <is>
          <t>V-02</t>
        </is>
      </c>
      <c r="K77" s="47" t="inlineStr">
        <is>
          <t>R-01, R-39, R-42</t>
        </is>
      </c>
      <c r="L77" s="47" t="inlineStr">
        <is>
          <t>Superata</t>
        </is>
      </c>
      <c r="M77" s="47" t="inlineStr">
        <is>
          <t>D-088</t>
        </is>
      </c>
      <c r="N77" s="47" t="inlineStr">
        <is>
          <t>Chat del 30/10/2026 (A5.P2)</t>
        </is>
      </c>
      <c r="O77" s="47" t="inlineStr">
        <is>
          <t>Proposta: cambia la motivazione di D-027 ("campo normale per un TMA fuori asse") e il volume per il layout di Giuliano. Fase 0 diceva solo "TMA, 12 cm, 0,7 m": resta valida. Campo pieno 1,84° × 3,45° (diag. 3,9°) in asse da verificare con un progettista ottico (TBC) | 30/10/2026 Giuliano: approvata. Lato GNC: lunghezza ~30 cm con paraluce entro i 454 mm (L1, D-043); massa e inerzie da verificare in A5.7. | 30/10/2026 (A5.P4): Superata da D-088. Il Korsch in asse non regge il campo di 3,9° (R-42 avverato).</t>
        </is>
      </c>
    </row>
    <row r="78">
      <c r="A78" s="47" t="inlineStr">
        <is>
          <t>D-077</t>
        </is>
      </c>
      <c r="B78" s="48" t="n">
        <v>46325</v>
      </c>
      <c r="C78" s="47" t="inlineStr">
        <is>
          <t>A5</t>
        </is>
      </c>
      <c r="D78" s="47" t="inlineStr">
        <is>
          <t>Giuseppe</t>
        </is>
      </c>
      <c r="E78" s="47" t="inlineStr">
        <is>
          <t>Payload</t>
        </is>
      </c>
      <c r="F78" s="47" t="inlineStr">
        <is>
          <t>Ripresa notturna con il TMA in asse (D-076, ombra del secondario ~9,5%): città/quartieri 1×1 (4,8 m) con 12 scatti da 20 ms (240 ms, SNR 10,4); paesi 3×3 (14,4 m) con 10 scatti (200 ms, SNR 11,3) come modalità nominale; 2×2 (9,6 m, 18 scatti per SNR 10) non più nominale. Pixel 11 µm invariato</t>
        </is>
      </c>
      <c r="G78" s="47" t="inlineStr">
        <is>
          <t>Più scatti con 2×2 per i paesi (18 scatti = 360 ms, inseguimento con margine ~0,43 s &gt; DR-11); lasciare tutto com'era accettando SNR 9,3–9,5 (DR-09 a ≥ 9)</t>
        </is>
      </c>
      <c r="H78" s="47" t="inlineStr">
        <is>
          <t>Mantiene SNR ≥ 10 senza allungare l'inseguimento oltre DR-11 (max 240 ms + 20% = 0,29 s); 14,4 m bastano per le celle da 150 m della conferma blackout (D-064, ~10 pixel per cella). Il dettaglio via per via del 2×2 (motivo di D-031) non è usato dalla catena A4</t>
        </is>
      </c>
      <c r="I78" s="47" t="inlineStr">
        <is>
          <t>DR-09; durata FMC (diminuisce: nessun impatto su Giuliano); volume dati (scena paesi 0,7 MB invece di 1,6)</t>
        </is>
      </c>
      <c r="J78" s="47" t="inlineStr">
        <is>
          <t>DR-09, DR-11</t>
        </is>
      </c>
      <c r="K78" s="47" t="inlineStr">
        <is>
          <t>R-02</t>
        </is>
      </c>
      <c r="L78" s="47" t="inlineStr">
        <is>
          <t>Superata</t>
        </is>
      </c>
      <c r="M78" s="47" t="inlineStr">
        <is>
          <t>D-089</t>
        </is>
      </c>
      <c r="N78" s="47" t="inlineStr">
        <is>
          <t>Chat del 30/10/2026 (A5.P2)</t>
        </is>
      </c>
      <c r="O78" s="47" t="inlineStr">
        <is>
          <t>Sostituisce D-031. Calcolo in a5_calcoli/p2_ostruzione_snr.py (modello A3, trasmissione relativa 0,905 TBC fino al progetto ottico). Anche il diurno perde ~9,5% di luce: SNR TDI tipico ~73 → ~69, inverno scuro ~29 → ~28 (stima) | 30/10/2026 (A5.P4): Superata da D-089 (ombra 20% del telescopio RC: città 14 scatti).</t>
        </is>
      </c>
    </row>
    <row r="79">
      <c r="A79" s="47" t="inlineStr">
        <is>
          <t>D-078</t>
        </is>
      </c>
      <c r="B79" s="48" t="n">
        <v>46325</v>
      </c>
      <c r="C79" s="47" t="inlineStr">
        <is>
          <t>A5</t>
        </is>
      </c>
      <c r="D79" s="47" t="inlineStr">
        <is>
          <t>Giuseppe</t>
        </is>
      </c>
      <c r="E79" s="47" t="inlineStr">
        <is>
          <t>Struttura</t>
        </is>
      </c>
      <c r="F79" s="47" t="inlineStr">
        <is>
          <t>Posizione del telescopio sulla faccia a nadir (226 × 226 mm): ingombro ~140 × 140 mm (con struttura) spostato contro un lato; resta libera una striscia di ~66 × 206 mm sul lato opposto per l'antenna TT&amp;C a nadir (D-068) ed eventuali altri sensori</t>
        </is>
      </c>
      <c r="G79" s="47" t="inlineStr">
        <is>
          <t>Al centro (cornice utile ~33 mm, antenna a fatica); in un angolo (due strisce a L da ~66 mm, baricentro spostato ~4–5 mm in diagonale)</t>
        </is>
      </c>
      <c r="H79" s="47" t="inlineStr">
        <is>
          <t>Spazio comodo per l'antenna con spostamento del baricentro piccolo (~3–4 mm per 2–2,5 kg di telescopio su ~30 kg), compensabile nel layout (batterie o altre masse sul lato opposto)</t>
        </is>
      </c>
      <c r="I79" s="47" t="inlineStr">
        <is>
          <t>Layout e baricentro (A5.7, Giuliano: D-047, DR-14, DR-21); antenna a nadir (D-068)</t>
        </is>
      </c>
      <c r="J79" s="47" t="inlineStr">
        <is>
          <t>DR-14, DR-21</t>
        </is>
      </c>
      <c r="K79" s="47" t="inlineStr">
        <is>
          <t>R-39</t>
        </is>
      </c>
      <c r="L79" s="47" t="inlineStr">
        <is>
          <t>Approvata</t>
        </is>
      </c>
      <c r="M79" s="47" t="n"/>
      <c r="N79" s="47" t="inlineStr">
        <is>
          <t>Chat del 30/10/2026 (A5.P2)</t>
        </is>
      </c>
      <c r="O79" s="47" t="inlineStr">
        <is>
          <t>Proposta: tocca layout e bilanciamento di Giuliano. Bordo strutturale ~10 mm per lato (TBC). Antenna lontana dal piano focale e dai cavi dei sensori (EMC da verificare in Fase B) | 30/10/2026 Giuliano: approvata. Con antenna TT&amp;C a nadir compatta (D-080, K1): le patch S commerciali trovate non entrano nei 66 mm (ISIS Ø 80 mm, CUBECOM 110 × 85 mm, AAC formato 1U). Spostamento del baricentro 3–4 mm sui 10 mm di D-047: da chiudere in A5.7 con la zavorra.</t>
        </is>
      </c>
    </row>
    <row r="80">
      <c r="A80" s="47" t="inlineStr">
        <is>
          <t>D-079</t>
        </is>
      </c>
      <c r="B80" s="48" t="n">
        <v>46325</v>
      </c>
      <c r="C80" s="47" t="inlineStr">
        <is>
          <t>A5</t>
        </is>
      </c>
      <c r="D80" s="47" t="inlineStr">
        <is>
          <t>Giuseppe</t>
        </is>
      </c>
      <c r="E80" s="47" t="inlineStr">
        <is>
          <t>Payload</t>
        </is>
      </c>
      <c r="F80" s="47" t="inlineStr">
        <is>
          <t>Paraluce di ~10 cm davanti all'apertura (~13 cm): il Sole non illumina direttamente gli specchi se sta a più di ~52° dall'asse ottico. Coperchio dell'apertura richiudibile (motorizzato): chiuso in safe, in spinta e fino al commissioning, aperto per le riprese e su comando di emergenza (D-034, D-074)</t>
        </is>
      </c>
      <c r="G80" s="47" t="inlineStr">
        <is>
          <t>Paraluce 5 cm (esclusione ~69°: d'inverno a 45° fuori nadir il Sole a ~65° entrerebbe); paraluce 15 cm (~41°, 5 cm di lunghezza in meno per il resto del satellite)</t>
        </is>
      </c>
      <c r="H80" s="47" t="inlineStr">
        <is>
          <t>Copre il caso peggiore in ripresa (inverno, zenit solare ~70°, 45° fuori nadir verso il Sole: Sole a ~65° dall'asse) con ~13° di margine; telescopio + paraluce ~30 cm su 45,4</t>
        </is>
      </c>
      <c r="I80" s="47" t="inlineStr">
        <is>
          <t>Valore di DR-37 (modi ADCS di Giuliano con coperchio aperto); lunghezza disponibile per il layout (A5.7); massa del coperchio (A5.P4)</t>
        </is>
      </c>
      <c r="J80" s="47" t="inlineStr">
        <is>
          <t>DR-37</t>
        </is>
      </c>
      <c r="K80" s="47" t="inlineStr">
        <is>
          <t>R-23, R-43</t>
        </is>
      </c>
      <c r="L80" s="47" t="inlineStr">
        <is>
          <t>Approvata</t>
        </is>
      </c>
      <c r="M80" s="47" t="n"/>
      <c r="N80" s="47" t="inlineStr">
        <is>
          <t>Chat del 30/10/2026 (A5.P2)</t>
        </is>
      </c>
      <c r="O80" s="47" t="inlineStr">
        <is>
          <t>Proposta: fissa il valore di DR-37, che vincola i modi d'assetto di Giuliano con il coperchio aperto. Esclusione calcolata come arctan(13 cm / 10 cm), stima di primo ordine; luce diffusa dal bordo della Terra da verificare in Fase B | 30/10/2026 Giuliano: approvata. Nessun conflitto con i modi GNC: coperchio chiuso in safe, spinta e detumbling; di notte Sole dietro la Terra; caso diurno peggiore ~65°; puntamento della stazione non usato (niente banda X). Vincolo per A5.6: con coperchio bloccato aperto (R-43) in safe il telescopio deve restare a ≥ 52° dal Sole: pannelli con normale perpendicolare all'asse ottico (≥ 90° − 15° = 75°). | 30/10/2026 (D-106): i pannelli non sono perpendicolari all'asse ottico ma con normale opposta alla direzione di vista (ali a zenit): in safe Sole a ~180° dall'asse, condizione ancora più sicura</t>
        </is>
      </c>
    </row>
    <row r="81">
      <c r="A81" s="47" t="inlineStr">
        <is>
          <t>D-080</t>
        </is>
      </c>
      <c r="B81" s="48" t="n">
        <v>46325</v>
      </c>
      <c r="C81" s="47" t="inlineStr">
        <is>
          <t>A5</t>
        </is>
      </c>
      <c r="D81" s="47" t="inlineStr">
        <is>
          <t>Giuliano</t>
        </is>
      </c>
      <c r="E81" s="47" t="inlineStr">
        <is>
          <t>TT&amp;C / Terra</t>
        </is>
      </c>
      <c r="F81" s="47" t="inlineStr">
        <is>
          <t>Antenna TT&amp;C a nadir (K1): patch S compatta su ceramica ad alta costante dielettrica, lato ≤ 60 mm, nella striscia libera di ~66 × 206 mm (D-078). Riserva K3: antenna sullo spigolo o su una faccia laterale inclinata verso nadir. Per massa e potenza resta il riferimento ISIS (&lt; 50 g, passiva)</t>
        </is>
      </c>
      <c r="G81" s="47" t="inlineStr">
        <is>
          <t>K2: telescopio spostato di altri ~14 mm per la patch ISIS da 80 mm (meno spazio verso i binari, baricentro spostato oltre i 3–4 mm di D-078 sui 10 mm di D-047); K3 tenuta come riserva (copertura a nadir ridotta, analisi di copertura da rifare)</t>
        </is>
      </c>
      <c r="H81" s="47" t="inlineStr">
        <is>
          <t>Lascia invariato il layout di Giuseppe; una patch piccola ha fascio più largo (utile per la copertura di D-068) e guadagno più basso (TBC), coperto dal margine di 7,8 dB del link budget a 10° (D-069)</t>
        </is>
      </c>
      <c r="I81" s="47" t="inlineStr">
        <is>
          <t>Scelta del prodotto (Fase B), link budget da rifare con il diagramma reale, layout della faccia a nadir (A5.7)</t>
        </is>
      </c>
      <c r="J81" s="47" t="inlineStr">
        <is>
          <t>DR-40, DR-41</t>
        </is>
      </c>
      <c r="K81" s="47" t="inlineStr">
        <is>
          <t>R-39</t>
        </is>
      </c>
      <c r="L81" s="47" t="inlineStr">
        <is>
          <t>Approvata</t>
        </is>
      </c>
      <c r="M81" s="47" t="n"/>
      <c r="N81" s="47" t="inlineStr">
        <is>
          <t>Chat del 30/10/2026; datasheet ISIS S-band patch, AAC PULSAR-SANT, CUBECOM SANT</t>
        </is>
      </c>
      <c r="O81" s="47" t="inlineStr">
        <is>
          <t>Riguarda solo TT&amp;C: non cambia numeri né layout di Giuseppe. Prodotto commerciale ≤ 60 mm in banda 2,2–2,29 GHz da cercare in Fase B</t>
        </is>
      </c>
    </row>
    <row r="82">
      <c r="A82" s="47" t="inlineStr">
        <is>
          <t>D-081</t>
        </is>
      </c>
      <c r="B82" s="48" t="n">
        <v>46325</v>
      </c>
      <c r="C82" s="47" t="inlineStr">
        <is>
          <t>A5</t>
        </is>
      </c>
      <c r="D82" s="47" t="inlineStr">
        <is>
          <t>Giuseppe</t>
        </is>
      </c>
      <c r="E82" s="47" t="inlineStr">
        <is>
          <t>AI / Dati</t>
        </is>
      </c>
      <c r="F82" s="47" t="inlineStr">
        <is>
          <t>Architettura della scheda di bordo (A+): la somma dei passaggi (TDI digitale diurno, shift-and-add notturno) si fa in tempo reale su FPGA mentre il sensore riprende (ingresso ~7,5 Gbit/s di giorno, ~2,5 Gbit/s di notte; scena diurna sommata ~125 MB); l'AI lavora dopo la somma, tra un bersaglio e l'altro (~5–15 s per scena con un chip da ~1–2 TOPS utili, stima). Gli allarmi urgenti (vettori + ritagli: diurni ~0,7 MB, notturni ~0,26 MB) si scaricano a Fucino nello stesso passaggio sull'Italia; scene intere e archivio restano a Svalbard/Fairbanks secondo la coda di D-073</t>
        </is>
      </c>
      <c r="G82" s="47" t="inlineStr">
        <is>
          <t>A: AI dopo, tutto scaricato a Svalbard/Fairbanks (allarme diurno a terra ~1 h 15 min dopo la ripresa, stima); B: AI potente in tempo reale (chip tipo GPU 15–25 W, guadagna solo secondi); C: dati grezzi in memoria e poi elaborazione (~1,2 GB per scena, scrittura a ~7,5 Gbit/s, difficile su CubeSat)</t>
        </is>
      </c>
      <c r="H82" s="47" t="inlineStr">
        <is>
          <t>Il tempo dell'allarme si perde aspettando la stazione, non nella scheda. Fucino vede il satellite per ~5–6 min durante il passaggio sull'Italia; dopo l'ultima ripresa (Palermo) restano ~2 min: l'allarme diurno arriva a terra ~2 min dopo la ripresa invece di ~1 h 15 min; di notte si risparmiano i 5–8 min di attesa di Svalbard</t>
        </is>
      </c>
      <c r="I82" s="47" t="inlineStr">
        <is>
          <t>Ruolo di Fucino (D-016: da riserva e comandi a anche ricezione allarmi; Giuliano), ricezione in banda S a Fucino (4,3 Mbit/s, D-069, TBC), coda di scarico (D-073, classe 2 anche a Fucino), DR-13, potenza della scheda (A5.P6), scelta del chip (A5.P3); antenna a nadir compatta (D-080 di Giuliano): verificare che il collegamento a Fucino regga 4,3 Mbit/s</t>
        </is>
      </c>
      <c r="J82" s="47" t="inlineStr">
        <is>
          <t>DR-13, DR-48</t>
        </is>
      </c>
      <c r="K82" s="47" t="inlineStr">
        <is>
          <t>R-44</t>
        </is>
      </c>
      <c r="L82" s="47" t="inlineStr">
        <is>
          <t>Approvata</t>
        </is>
      </c>
      <c r="M82" s="47" t="n"/>
      <c r="N82" s="47" t="inlineStr">
        <is>
          <t>Chat del 30/10/2026 (A5.P3); a5_calcoli/p3_scheda.py</t>
        </is>
      </c>
      <c r="O82" s="47" t="inlineStr">
        <is>
          <t>Proposta: cambia il ruolo di Fucino (D-016) e i contatti pianificati da Giuliano. Attesa fino a Svalbard dopo un passaggio diurno ~75 min stimata a mano (~300° di orbita), da confermare con GMAT; visibilità di Fucino a 5° di elevazione ~±1.440 km (stima di primo ordine) | 30/10/2026 Giuliano: approvata con modifica (G2): lo scarico a Fucino nello stesso passaggio vale solo per gli allarmi diurni e quando la finestra lo permette; gli allarmi notturni vanno a Svalbard (5–8 min dopo la ripresa). GMAT (5 bersagli, 4 satelliti, gen 2026): Fucino in vista dopo l'ultima ripresa di giorno 69–198 s a 30° (mediana 136) e 50–146 s a 45° (mediana 106), cioè ~20–36 MB in mediana dopo 60 s di AI e 10 s di aggancio; di notte 48–131 s a 30° (mediana 65) e 27–67 s a 45° (mediana 45): nessuno spazio utile (passaggio sud→nord, ultimo bersaglio lontano da Fucino). Se la finestra salta gli allarmi restano in classe 2 della coda (D-073) e partono a Svalbard (~77 min di giorno). Picco di potenza radio S (15 W) + scheda AI da vedere in A5.6</t>
        </is>
      </c>
    </row>
    <row r="83">
      <c r="A83" s="47" t="inlineStr">
        <is>
          <t>D-082</t>
        </is>
      </c>
      <c r="B83" s="48" t="n">
        <v>46325</v>
      </c>
      <c r="C83" s="47" t="inlineStr">
        <is>
          <t>A5</t>
        </is>
      </c>
      <c r="D83" s="47" t="inlineStr">
        <is>
          <t>Giuliano</t>
        </is>
      </c>
      <c r="E83" s="47" t="inlineStr">
        <is>
          <t>TT&amp;C / Terra</t>
        </is>
      </c>
      <c r="F83" s="47" t="inlineStr">
        <is>
          <t>Bande (B2): banda S per tutto (discesa 4,3 Mbit/s, D-069; salita ≥ 128 kbit/s con ricevitore o ricetrasmettitore S da scegliere in A5.5.7) + UHF di riserva a 400,15–401 MHz (9.600 bit/s, comandi e telemetria in safe e in caso di guasto della catena S). Nessuna banda X</t>
        </is>
      </c>
      <c r="G83" s="47" t="inlineStr">
        <is>
          <t>B1: solo banda S (un guasto della radio fa perdere il satellite); B3: due catene S ridondanti (doppia massa e potenza, stesso guasto comune su banda e antenna); B4: S + X + UHF (volume &lt; 10% della banda S, massa, potenza e licenza X inutili)</t>
        </is>
      </c>
      <c r="H83" s="47" t="inlineStr">
        <is>
          <t>Volume per satellite (Giuseppe): routine ~46 MB/giorno (2,3% della capacità S di ~2.030 MB/giorno), primi 3 mesi ~144 MB (7,1%), picco ~194 MB (9,6%), senza compressione ~610 MB (30%); calibrazione al commissioning 1,7 GB in &lt; 1 giorno di capacità libera; giorno peggiore ~1.970 MB. Salita: 300–750 MB/anno, pacchetto max ~50 MB = 52 min (~12 contatti, &lt; 1 giorno) a 128 kbit/s. UHF: seconda via indipendente, +75 g, 4 W solo in trasmissione (classe ISIS), margine 4,8 dB a 9.600 bit/s</t>
        </is>
      </c>
      <c r="I83" s="47" t="inlineStr">
        <is>
          <t>Massa, potenza e volume TT&amp;C (A5.5.7, A5.6, A5.7), licenze S e UHF, rete di terra (UHF nelle stazioni, TBC), DR-28 (inseguimento della stazione non più necessario)</t>
        </is>
      </c>
      <c r="J83" s="47" t="inlineStr">
        <is>
          <t>DR-49, DR-41, DR-28, DR-47</t>
        </is>
      </c>
      <c r="K83" s="47" t="inlineStr">
        <is>
          <t>R-40, R-45</t>
        </is>
      </c>
      <c r="L83" s="47" t="inlineStr">
        <is>
          <t>Approvata</t>
        </is>
      </c>
      <c r="M83" s="47" t="n"/>
      <c r="N83" s="47" t="inlineStr">
        <is>
          <t>A5.5 – chat del 30/10/2026; numeri payload di Giuseppe (A5.P1); PULSE A5.5 (link_budget.py, scene_diurne.py)</t>
        </is>
      </c>
      <c r="O83" s="47" t="inlineStr">
        <is>
          <t>Riguarda solo TT&amp;C: chiude A5.5.1 e A5.5.2 sui numeri di Giuseppe (D-070, D-071, D-072). 435–438 MHz è banda amatoriale: non usabile | 30/10/2026 (A5.5.7): la radio di riserva di riferimento (classe ISIS) riceve in VHF a 148–150,05 MHz (operazioni spaziali, salita) e trasmette in UHF a 400,15–402 MHz: è una coppia VHF/UHF. Antenna dispiegabile classe ISIS AntS (89 g, 98 × 98 mm) con elementi VHF e UHF. Catena S: D-084. | 30/10/2026 (A5.5.7): la radio di riserva di riferimento (classe ISIS) riceve in VHF 148–150,05 MHz (salita, operazioni spaziali) e trasmette in UHF 400,15–402 MHz: coppia VHF/UHF. Antenna dispiegabile ISIS AntS (89 g) con elementi VHF e UHF.</t>
        </is>
      </c>
    </row>
    <row r="84">
      <c r="A84" s="47" t="inlineStr">
        <is>
          <t>D-083</t>
        </is>
      </c>
      <c r="B84" s="48" t="n">
        <v>46325</v>
      </c>
      <c r="C84" s="47" t="inlineStr">
        <is>
          <t>A5</t>
        </is>
      </c>
      <c r="D84" s="47" t="inlineStr">
        <is>
          <t>Giuliano</t>
        </is>
      </c>
      <c r="E84" s="47" t="inlineStr">
        <is>
          <t>TT&amp;C / Terra</t>
        </is>
      </c>
      <c r="F84" s="47" t="inlineStr">
        <is>
          <t>Scarico dell'archivio notturno (opzione a): le scene d'archivio si scaricano nello stesso contatto con Svalbard dopo la ripresa notturna, subito dopo le zone candidate; la coda con invecchiamento (D-073) resta come riserva. Scene d'archivio per notte limitate dalla geometria del passaggio, non dallo scarico: ~2–4 per satellite (media ~2,7, stima)</t>
        </is>
      </c>
      <c r="G84" s="47" t="inlineStr">
        <is>
          <t>b: archivio in coda entro 24 h (D-067; archivio a terra più tardi, memoria occupata più a lungo)</t>
        </is>
      </c>
      <c r="H84" s="47" t="inlineStr">
        <is>
          <t>Contatto con Svalbard dopo la ripresa notturna 213–263 s = 98–125 MB a 4,3 Mbit/s (30 s di aggancio); prodotti notturni nel caso peggiore ~37 MB (zone candidate 25 MB + 4 scene × 3,1 MB + telemetria): posto per 2,6 volte il caso peggiore. Copertura d'archivio di tutta l'Italia (~3.100 scene) in ~290 notti utili con 4 satelliti (~11 scene/notte); città e zone a rischio molto prima</t>
        </is>
      </c>
      <c r="I84" s="47" t="inlineStr">
        <is>
          <t>Archivio a terra (R-37), memoria di bordo, pianificazione notturna (A6)</t>
        </is>
      </c>
      <c r="J84" s="47" t="inlineStr">
        <is>
          <t>DR-36, DR-35, DR-45</t>
        </is>
      </c>
      <c r="K84" s="47" t="inlineStr">
        <is>
          <t>R-37</t>
        </is>
      </c>
      <c r="L84" s="47" t="inlineStr">
        <is>
          <t>Approvata</t>
        </is>
      </c>
      <c r="M84" s="47" t="n"/>
      <c r="N84" s="47" t="inlineStr">
        <is>
          <t>A5.5 – chat del 30/10/2026; numeri payload di Giuseppe (A5.P1); PULSE A5.5 (link_budget.py, scene_diurne.py)</t>
        </is>
      </c>
      <c r="O84" s="47" t="inlineStr">
        <is>
          <t>Riguarda solo lo scarico (Giuliano). Sostituisce D-067. Frazione di notti utili (nuvole, luna) da stimare in A6</t>
        </is>
      </c>
    </row>
    <row r="85">
      <c r="A85" s="47" t="inlineStr">
        <is>
          <t>D-084</t>
        </is>
      </c>
      <c r="B85" s="48" t="n">
        <v>46325</v>
      </c>
      <c r="C85" s="47" t="inlineStr">
        <is>
          <t>A5</t>
        </is>
      </c>
      <c r="D85" s="47" t="inlineStr">
        <is>
          <t>Giuliano</t>
        </is>
      </c>
      <c r="E85" s="47" t="inlineStr">
        <is>
          <t>TT&amp;C / Terra</t>
        </is>
      </c>
      <c r="F85" s="47" t="inlineStr">
        <is>
          <t>Catena S (R2): ricetrasmettitore software unico, classe IQ spacecom XLink-S (200 g, &lt; 15 W con TX e RX accesi, &lt; 4 W solo RX; salita 56–896 kbit/s, discesa fino a 200 Mbit/s, usata a 4,3 Mbit/s come D-069). Ricevitore S acceso solo nelle finestre di contatto previste (~2,5 h/giorno, ~10 Wh/giorno); la radio VHF/UHF (classe ISIS, 0,48 W) ascolta sempre per le emergenze fuori dai contatti. Ripiego a catalogo: R1 (ISIS TXS2 + ricevitore ISIS)</t>
        </is>
      </c>
      <c r="G85" s="47" t="inlineStr">
        <is>
          <t>R1: ISIS TXS2 + ricevitore ISIS (217 g, salita solo 9,6 kbit/s: pacchetto da 50 MB in 11,6 h, ~165 contatti; 750 MB/anno = 40% del tempo di contatto; non rispetta D-082); R3: TXS2 + secondo ricetrasmettitore S usato in ricezione (~380 g, due box, 125 kbit/s)</t>
        </is>
      </c>
      <c r="H85" s="47" t="inlineStr">
        <is>
          <t>Unica opzione che rispetta la salita ≥ 128 kbit/s di D-082 con un solo box: pesi della rete (~50 MB) in ~8 min a 896 kbit/s. Il costo di 4 W in ricezione si evita accendendo il ricevitore S solo nei contatti, che sono prevedibili; l'ascolto continuo lo fa la radio VHF/UHF (~11,5 Wh/giorno)</t>
        </is>
      </c>
      <c r="I85" s="47" t="inlineStr">
        <is>
          <t>Massa e potenza TT&amp;C (budget A5.5.7, A5.6), software di bordo (accensione del ricevitore sui contatti previsti), FDIR</t>
        </is>
      </c>
      <c r="J85" s="47" t="inlineStr">
        <is>
          <t>DR-50, DR-49, DR-41</t>
        </is>
      </c>
      <c r="K85" s="47" t="inlineStr">
        <is>
          <t>R-46</t>
        </is>
      </c>
      <c r="L85" s="47" t="inlineStr">
        <is>
          <t>Approvata</t>
        </is>
      </c>
      <c r="M85" s="47" t="n"/>
      <c r="N85" s="47" t="inlineStr">
        <is>
          <t>A5.5.7 – chat del 30/10/2026; IQ spacecom XLink-S (satsearch), ISIS S-band transceiver, EnduroSat S-band transceiver</t>
        </is>
      </c>
      <c r="O85" s="47" t="inlineStr">
        <is>
          <t>Riguarda solo TT&amp;C. Il link budget di D-069 (TXS2, 31 dBm) resta valido: XLink-S fino a +33 dBm combinati. Eredità di volo non dichiarata sulla pagina del prodotto (TRL 9 dichiarato): R-46</t>
        </is>
      </c>
    </row>
    <row r="86">
      <c r="A86" s="47" t="inlineStr">
        <is>
          <t>D-085</t>
        </is>
      </c>
      <c r="B86" s="48" t="n">
        <v>46325</v>
      </c>
      <c r="C86" s="47" t="inlineStr">
        <is>
          <t>A5</t>
        </is>
      </c>
      <c r="D86" s="47" t="inlineStr">
        <is>
          <t>Giuseppe</t>
        </is>
      </c>
      <c r="E86" s="47" t="inlineStr">
        <is>
          <t>AI / Dati</t>
        </is>
      </c>
      <c r="F86" s="47" t="inlineStr">
        <is>
          <t>Scheda di bordo con due chip (opzione 2): FPGA per la somma in tempo reale (D-081) + chip AI dedicato a basso consumo (classe VPU, famiglia Intel Movidius come sui CubeSat ESA Φ-sat-1/Φ-sat-2; ~1–2 W quando lavora, ~5–15 s per scena, TBC). Se il chip AI si guasta, l'FPGA continua a sommare e le immagini si scaricano senza AI (modo degradato)</t>
        </is>
      </c>
      <c r="G86" s="47" t="inlineStr">
        <is>
          <t>1: un solo chip FPGA + processore (tipo Zynq UltraScale+): più semplice e leggero, ma rete AI più laboriosa da portare sull'FPGA e un guasto ferma sia somma sia AI; 3: FPGA + GPU (tipo Jetson Orin): ~1 s per scena ma +10–25 W e più sensibile alle radiazioni</t>
        </is>
      </c>
      <c r="H86" s="47" t="inlineStr">
        <is>
          <t>L'AI è il cuore della missione: chip dedicato, rete più facile da aggiornare da terra, modo degradato se l'AI si guasta, riferimento ESA Φ-sat. Prezzo piccolo (una schedina ~100–200 g, ~1–2 W solo durante l'elaborazione, un collegamento in più tra i chip). Tutte le opzioni stanno nei ~60 s di DR-48</t>
        </is>
      </c>
      <c r="I86" s="47" t="inlineStr">
        <is>
          <t>Massa (A5.P4), potenza della scheda (A5.P6, poi A5.6 di Giuliano), interfaccia FPGA–chip AI (Fase B), formato dei pesi della rete caricati da terra</t>
        </is>
      </c>
      <c r="J86" s="47" t="inlineStr">
        <is>
          <t>DR-13, DR-48, DR-51</t>
        </is>
      </c>
      <c r="K86" s="47" t="inlineStr">
        <is>
          <t>R-47, R-48</t>
        </is>
      </c>
      <c r="L86" s="47" t="inlineStr">
        <is>
          <t>Approvata</t>
        </is>
      </c>
      <c r="M86" s="47" t="n"/>
      <c r="N86" s="47" t="inlineStr">
        <is>
          <t>Chat del 30/10/2026 (A5.P3)</t>
        </is>
      </c>
      <c r="O86" s="47" t="inlineStr">
        <is>
          <t>Consumi e tempi sono valori tipici di primo ordine (rete di segmentazione ~50–150 GOP per Mpx, scena 83,6 Mpx), da confermare con le schede vere</t>
        </is>
      </c>
    </row>
    <row r="87" s="26">
      <c r="A87" s="47" t="inlineStr">
        <is>
          <t>D-086</t>
        </is>
      </c>
      <c r="B87" s="48" t="n">
        <v>46325</v>
      </c>
      <c r="C87" s="47" t="inlineStr">
        <is>
          <t>A5</t>
        </is>
      </c>
      <c r="D87" s="47" t="inlineStr">
        <is>
          <t>Giuseppe</t>
        </is>
      </c>
      <c r="E87" s="47" t="inlineStr">
        <is>
          <t>AI / Dati</t>
        </is>
      </c>
      <c r="F87" s="47" t="inlineStr">
        <is>
          <t>Memoria della scheda: memoria veloce (RAM) ≥ ~2 GB (TBC) per 4 scene sommate e lavoro dell'AI; memoria di massa (flash) 32 GB; contenuti fissi critici (mappe VIIRS e albedo, OSM, DEM, pesi della rete) in due copie in zone separate, con gestione dei blocchi rovinati</t>
        </is>
      </c>
      <c r="G87" s="47" t="inlineStr">
        <is>
          <t>16 GB (basta, ~60 giorni di emergenza senza scarico, ma poco margine per usura e scene grezze); 64 GB (~300 giorni, ~48 scene grezze: spazio che quasi non useremmo)</t>
        </is>
      </c>
      <c r="H87" s="47" t="inlineStr">
        <is>
          <t>Bisogno ~5 GB (~10 GB con margine ×2, A5.P1). 32 GB ≈ 3 volte: ~900 scene diurne compresse in coda, ~140 giorni del caso di emergenza senza scaricare, ~22 scene grezze (1,24 GB l'una) da salvare per riaddestrare l'AI; margine per l'usura e i danni da radiazione della flash. Massa e potenza praticamente uguali tra le tre taglie</t>
        </is>
      </c>
      <c r="I87" s="47" t="inlineStr">
        <is>
          <t>Massa e potenza della scheda (trascurabili, A5.P4/A5.P6); software di bordo (gestione memoria e copie); nessun impatto sullo scarico (D-083)</t>
        </is>
      </c>
      <c r="J87" s="47" t="inlineStr">
        <is>
          <t>DR-52</t>
        </is>
      </c>
      <c r="K87" s="47" t="inlineStr">
        <is>
          <t>R-48</t>
        </is>
      </c>
      <c r="L87" s="47" t="inlineStr">
        <is>
          <t>Approvata</t>
        </is>
      </c>
      <c r="M87" s="47" t="n"/>
      <c r="N87" s="47" t="inlineStr">
        <is>
          <t>Chat del 30/10/2026 (A5.P3); a5_calcoli/p3_scheda.py</t>
        </is>
      </c>
      <c r="O87" s="47" t="inlineStr">
        <is>
          <t>Conti con contenuti fissi 2,3 GB e calibrazione 1,7 GB (caso alto di A5.P1), scena compressa 31 MB, giorno di emergenza 194 MB</t>
        </is>
      </c>
    </row>
    <row r="88" s="26">
      <c r="A88" s="47" t="inlineStr">
        <is>
          <t>D-087</t>
        </is>
      </c>
      <c r="B88" s="48" t="n">
        <v>46325</v>
      </c>
      <c r="C88" s="47" t="inlineStr">
        <is>
          <t>A5</t>
        </is>
      </c>
      <c r="D88" s="47" t="inlineStr">
        <is>
          <t>Giuliano</t>
        </is>
      </c>
      <c r="E88" s="47" t="inlineStr">
        <is>
          <t>Potenza</t>
        </is>
      </c>
      <c r="F88" s="47" t="inlineStr">
        <is>
          <t>Responsabile dell'EPS di piattaforma (A3, chiude D-038 per la sola voce EPS): pannelli solari, batterie e distribuzione (PCDU) a Giuliano. Restano a Giuseppe i consumi del payload e della scheda (P-11…P-16) e il termico del payload (P-23). Il bilancio di potenza complessivo resta in comune (D-028)</t>
        </is>
      </c>
      <c r="G88" s="47" t="inlineStr">
        <is>
          <t>A1: EPS e termico completi a Giuseppe (per affinità con la Guida); A2: EPS in comune</t>
        </is>
      </c>
      <c r="H88" s="47" t="inlineStr">
        <is>
          <t>Le scelte che dimensionano l'EPS (spinta in eclissi, configurazione e orientamento dei pannelli, roll bias, safe con pannelli perpendicolari all'asse ottico, effetto dei pannelli sul drag e sul ΔV) dipendono da orbita, assetto e propulsione, cioè dal lavoro di Giuliano; Giuseppe è impegnato sui sotto-passi payload di A5</t>
        </is>
      </c>
      <c r="I88" s="47" t="inlineStr">
        <is>
          <t>D-028 (divisione del lavoro), D-038, file dei budget (responsabile di P-18, P-19, P-20), sotto-passi A5.6</t>
        </is>
      </c>
      <c r="J88" s="47" t="n"/>
      <c r="K88" s="47" t="inlineStr">
        <is>
          <t>R-07</t>
        </is>
      </c>
      <c r="L88" s="47" t="inlineStr">
        <is>
          <t>Approvata</t>
        </is>
      </c>
      <c r="M88" s="47" t="n"/>
      <c r="N88" s="47" t="inlineStr">
        <is>
          <t>Chat del 30/10/2026 (A5.6.1)</t>
        </is>
      </c>
      <c r="O88" s="47" t="inlineStr">
        <is>
          <t>Proposta: cambia l'assegnazione di D-028 per Giuseppe (EPS non più suo). Restano aperti in D-038: struttura e meccanismi, computer di bordo, cablaggi, termico di piattaforma | 30/10/2026 Giuseppe: approvata.</t>
        </is>
      </c>
    </row>
    <row r="89" s="26">
      <c r="A89" s="47" t="inlineStr">
        <is>
          <t>D-088</t>
        </is>
      </c>
      <c r="B89" s="48" t="n">
        <v>46325</v>
      </c>
      <c r="C89" s="47" t="inlineStr">
        <is>
          <t>A5</t>
        </is>
      </c>
      <c r="D89" s="47" t="inlineStr">
        <is>
          <t>Giuseppe</t>
        </is>
      </c>
      <c r="E89" s="47" t="inlineStr">
        <is>
          <t>Payload</t>
        </is>
      </c>
      <c r="F89" s="47" t="inlineStr">
        <is>
          <t>Telescopio Ritchey-Chrétien (2 specchi iperbolici: primario 12 cm con foro centrale, secondario ~54 mm) + correttore di campo a 3 lenti in silice fusa davanti ai sensori; focale 0,70 m, F/5,8 (A2 invariati). Versione "nitida": focale del primario 200 mm, immagine 70 mm dietro il primario. Ottica ~25 cm, ~40 cm con sensori e paraluce di 10 cm (D-079); ingombro ~14 × 14 × 40 cm. Campo pieno 3,9° con i due sensori affiancati (D-027) verificato con tracciamento dei raggi</t>
        </is>
      </c>
      <c r="G89" s="47" t="inlineStr">
        <is>
          <t>Korsch in asse (D-076): con 3,9° il fascio verso il terziario e quello di ritorno si sovrappongono sullo specchio di rinvio (anche spostando il campo di lato le immagini peggiorano di 5–50 volte); RC versione corta (primario 180 mm: −3–4 cm, ma errore d'onda di riferimento 31 nm invece di 18, deformazione 0,64% invece di 0,34%, decentramento di 50 µm → 44 nm invece di 26); TMA fuori asse 12 cm (~2,7 volte il volume a f 700 mm, non entra); campo ridotto (rinuncia ai sensori affiancati)</t>
        </is>
      </c>
      <c r="H89" s="47" t="inlineStr">
        <is>
          <t>Unico schema calcolato che regge tutto il campo dentro il 16U: errore d'onda medio 22 nm, massimo 53 nm agli angoli (Strehl 0,94 / 0,69 a 550 nm, obiettivo λ/14 = 39 nm); MTF ottica a Nyquist pan 0,26 centro / 0,24 bordo / 0,21 angolo, di sistema (× rivelatore 0,64) 0,17 / 0,15 / 0,13; notte 0,59–0,53; deformazione 0,34% (24 px all'angolo, si calibra). Tollerante al montaggio (decentramento del secondario di 50 µm → 26 nm). Ombra centrale 20% (secondario 54 mm, foro 49 mm) invece di 9,5%. Schema a 2 specchi molto usato in volo</t>
        </is>
      </c>
      <c r="I89" s="47" t="inlineStr">
        <is>
          <t>Volume e layout (A5.7, Giuliano: V-02 da ~6 L a ~7,8 L, lunghezza da ~30 a ~40 cm su 45,4; resta ~5 cm in fondo); massa (~1,5 kg, ~1,8 kg con paraluce e coperchio, A5.P4) e baricentro (D-078, DR-14); SNR notturno (D-089); MTF di sistema (DR-53, A2 diceva 0,28 senza ombra); fuoco (DR-03)</t>
        </is>
      </c>
      <c r="J89" s="47" t="inlineStr">
        <is>
          <t>DR-03, DR-53, DR-09, DR-11, V-02</t>
        </is>
      </c>
      <c r="K89" s="47" t="inlineStr">
        <is>
          <t>R-42, R-49, R-50</t>
        </is>
      </c>
      <c r="L89" s="47" t="inlineStr">
        <is>
          <t>Approvata</t>
        </is>
      </c>
      <c r="M89" s="47" t="n"/>
      <c r="N89" s="47" t="inlineStr">
        <is>
          <t>Chat del 30/10/2026 (A5.P4); documento "PULSE A5.P4 – Scelta del telescopio"</t>
        </is>
      </c>
      <c r="O89" s="47" t="inlineStr">
        <is>
          <t>Proposta: sostituisce D-076 e cambia lunghezza e volume del telescopio per il layout di Giuliano. Calcoli in a5_calcoli/p4_ottica/ (rc.py, progetto_rc.py, geometria_rc.py, analisi_rc.py, rc_200_70_3.json); disegno telescopio_rc_sezione.png. Progetto di Fase A con tracciatore proprio: da rifare con programma professionale in Fase B (lenti asferiche per gli angoli) | 30/10/2026 (A5.P4): massa calcolata pezzo per pezzo (a5_calcoli/p4_massa_baricentro.py): telescopio con piastra dei sensori 1,60 kg, paraluce + coperchio 0,30 kg (budget M-11, M-14). | 30/10/2026 Giuliano: approvata (B), con punti da verificare nel layout (A5.7): star tracker parallelo al telescopio e patch a zenit di fianco al telescopio, non nei ~5 cm in fondo; baricentro X/Y con il telescopio spostato su un lato (D-078) entro DR-14 e D-047; inerzie entro l'inviluppo di D-043 con telescopio 1,6 kg + paraluce e coperchio 0,3 kg. DR-11 invariato (0,34 s ≤ 0,36 s)</t>
        </is>
      </c>
    </row>
    <row r="90" s="26">
      <c r="A90" s="47" t="inlineStr">
        <is>
          <t>D-089</t>
        </is>
      </c>
      <c r="B90" s="48" t="n">
        <v>46325</v>
      </c>
      <c r="C90" s="47" t="inlineStr">
        <is>
          <t>A5</t>
        </is>
      </c>
      <c r="D90" s="47" t="inlineStr">
        <is>
          <t>Giuseppe</t>
        </is>
      </c>
      <c r="E90" s="47" t="inlineStr">
        <is>
          <t>Payload</t>
        </is>
      </c>
      <c r="F90" s="47" t="inlineStr">
        <is>
          <t>Ripresa notturna con il telescopio RC (D-088, trasmissione relativa ~0,79 con ombra 20% + bracci ~1%): città/quartieri 1×1 (4,8 m) con 14 scatti da 20 ms (280 ms, SNR 10,3); paesi 3×3 (14,4 m) con 10 scatti (200 ms, SNR 10,2), invariato. Pixel 11 µm invariato</t>
        </is>
      </c>
      <c r="G90" s="47" t="inlineStr">
        <is>
          <t>Restare a 12 scatti in città accettando SNR 9,6; 13 scatti (SNR 9,96, senza margine)</t>
        </is>
      </c>
      <c r="H90" s="47" t="inlineStr">
        <is>
          <t>Mantiene SNR ≥ 10 (DR-09); l'inseguimento più lungo è 280 ms, +20% = 0,34 s, dentro gli 0,36 s di DR-11 già verificati da Giuliano. Di giorno il segnale scende del ~13% rispetto al Korsch (SNR ~ −6%, non visibile)</t>
        </is>
      </c>
      <c r="I90" s="47" t="inlineStr">
        <is>
          <t>DR-09, DR-11 (nessun cambio di valore); volume dati invariato</t>
        </is>
      </c>
      <c r="J90" s="47" t="inlineStr">
        <is>
          <t>DR-09, DR-11</t>
        </is>
      </c>
      <c r="K90" s="47" t="n"/>
      <c r="L90" s="47" t="inlineStr">
        <is>
          <t>Approvata</t>
        </is>
      </c>
      <c r="M90" s="47" t="n"/>
      <c r="N90" s="47" t="inlineStr">
        <is>
          <t>Chat del 30/10/2026 (A5.P4)</t>
        </is>
      </c>
      <c r="O90" s="47" t="inlineStr">
        <is>
          <t>Sostituisce D-077. Calcolo con il modello di p2_ostruzione_snr.py (A3) e τ = 1 − 0,448² − 0,01 = 0,789. Approvata perché non cambia i valori di Giuliano (DR-11 resta ≥ 0,36 s), ma segue D-088 (Proposta)</t>
        </is>
      </c>
    </row>
    <row r="91" s="26">
      <c r="A91" s="47" t="inlineStr">
        <is>
          <t>D-090</t>
        </is>
      </c>
      <c r="B91" s="48" t="n">
        <v>46325</v>
      </c>
      <c r="C91" s="47" t="inlineStr">
        <is>
          <t>A5</t>
        </is>
      </c>
      <c r="D91" s="47" t="inlineStr">
        <is>
          <t>Giuseppe</t>
        </is>
      </c>
      <c r="E91" s="47" t="inlineStr">
        <is>
          <t>Payload</t>
        </is>
      </c>
      <c r="F91" s="47" t="inlineStr">
        <is>
          <t>Materiali del telescopio: specchi in vetro alleggerito (~60%) a bassa dilatazione, struttura (tubo, paratie, ragno del secondario) in fibra di carbonio, attacchi flessibili in titanio/Invar</t>
        </is>
      </c>
      <c r="G91" s="47" t="inlineStr">
        <is>
          <t>Tutto alluminio (specchi e struttura nello stesso metallo: si dilata in modo uniforme, più facile da lavorare, ~1,34 kg contro ~1,29 kg per il Korsch, ma superfici meno lisce e più luce diffusa)</t>
        </is>
      </c>
      <c r="H91" s="47" t="inlineStr">
        <is>
          <t>Migliore qualità delle superfici (meno luce diffusa, utile di notte) e struttura che si dilata poco con la temperatura (fuoco più stabile, DR-03); massa praticamente uguale (stima dal basso, a5_calcoli/p4_telescopio_massa.py)</t>
        </is>
      </c>
      <c r="I91" s="47" t="inlineStr">
        <is>
          <t>Massa del telescopio (A5.P4); fuoco e termico del payload (A5.P7, DR-03); fornitori (Fase B)</t>
        </is>
      </c>
      <c r="J91" s="47" t="inlineStr">
        <is>
          <t>DR-03</t>
        </is>
      </c>
      <c r="K91" s="47" t="inlineStr">
        <is>
          <t>R-49</t>
        </is>
      </c>
      <c r="L91" s="47" t="inlineStr">
        <is>
          <t>Approvata</t>
        </is>
      </c>
      <c r="M91" s="47" t="n"/>
      <c r="N91" s="47" t="inlineStr">
        <is>
          <t>Chat del 30/10/2026 (A5.P4)</t>
        </is>
      </c>
      <c r="O91" s="47" t="inlineStr">
        <is>
          <t>Scelta di Giuseppe prima del cambio di schema; vale anche per il telescopio RC (D-088). Massa RC ~1,5 kg da confermare nel resto di A5.P4 | 30/10/2026 (D-098): la distanza tra gli specchi la tengono aste in Invar; il carbonio resta per guscio e paratie.</t>
        </is>
      </c>
    </row>
    <row r="92" s="26">
      <c r="A92" s="47" t="inlineStr">
        <is>
          <t>D-091</t>
        </is>
      </c>
      <c r="B92" s="48" t="n">
        <v>46325</v>
      </c>
      <c r="C92" s="47" t="inlineStr">
        <is>
          <t>A5</t>
        </is>
      </c>
      <c r="D92" s="47" t="inlineStr">
        <is>
          <t>Giuseppe</t>
        </is>
      </c>
      <c r="E92" s="47" t="inlineStr">
        <is>
          <t>Struttura</t>
        </is>
      </c>
      <c r="F92" s="47" t="inlineStr">
        <is>
          <t>Posizione della scheda payload (FPGA + chip AI + memoria, opzione A): sulla struttura del satellite vicino al piano focale, sul lato opposto al telescopio (circa Y +60 mm, Z ~380 mm dalla faccia a nadir), con un radiatore proprio e senza contatto termico diretto con il telescopio; collegata ai sensori con cavi piatti flessibili di 10–15 cm. Ingombro ~100 × 100 × 60 mm (TBC)</t>
        </is>
      </c>
      <c r="G92" s="47" t="inlineStr">
        <is>
          <t>B: nella pila dell'elettronica con il computer di bordo (cavo di 20–40 cm a ~7,5 Gbit/s, più disturbi; bilanciamento tutto sul resto del layout); C: scheda divisa in due, piccola FPGA dietro i sensori per la somma (~2–3 W) e AI + memoria nella pila (tenuta come riserva se l'analisi termica A5.P7 trova problemi)</t>
        </is>
      </c>
      <c r="H92" s="47" t="inlineStr">
        <is>
          <t>Il flusso più veloce (~7,5 Gbit/s di giorno, D-081) resta su cavi corti; una sola scheda; fa da contrappeso al telescopio (spostamento del baricentro da ~3,8 a ~2,9 mm su 30 kg, DR-21 ≤ 10 mm). Il calore (~6 W per ~10 min a passaggio, ~1 Wh) va alla struttura e al radiatore, non al telescopio (fuoco DR-03, sensore notturno a ~0 °C)</t>
        </is>
      </c>
      <c r="I92" s="47" t="inlineStr">
        <is>
          <t>Layout (A5.7, Giuliano): spazio a L accanto al telescopio; baricentro (DR-14, DR-21); termico del payload (A5.P7); cablaggi</t>
        </is>
      </c>
      <c r="J92" s="47" t="inlineStr">
        <is>
          <t>DR-03, DR-14, DR-21</t>
        </is>
      </c>
      <c r="K92" s="47" t="inlineStr">
        <is>
          <t>R-51</t>
        </is>
      </c>
      <c r="L92" s="47" t="inlineStr">
        <is>
          <t>Proposta</t>
        </is>
      </c>
      <c r="M92" s="47" t="n"/>
      <c r="N92" s="47" t="inlineStr">
        <is>
          <t>Chat del 30/10/2026 (A5.P4)</t>
        </is>
      </c>
      <c r="O92" s="47" t="inlineStr">
        <is>
          <t>Proposta: occupa spazio nel layout di Giuliano. Calcolo del baricentro in a5_calcoli/p4_massa_baricentro.py</t>
        </is>
      </c>
    </row>
    <row r="93" s="26">
      <c r="A93" s="47" t="inlineStr">
        <is>
          <t>D-092</t>
        </is>
      </c>
      <c r="B93" s="48" t="n">
        <v>46325</v>
      </c>
      <c r="C93" s="47" t="inlineStr">
        <is>
          <t>A5</t>
        </is>
      </c>
      <c r="D93" s="47" t="inlineStr">
        <is>
          <t>Giuliano</t>
        </is>
      </c>
      <c r="E93" s="47" t="inlineStr">
        <is>
          <t>AI / Dati</t>
        </is>
      </c>
      <c r="F93" s="47" t="inlineStr">
        <is>
          <t>Coda di scarico dei dati del payload nella memoria della scheda payload (Q1, conferma D-086): la scheda resta in attesa (~2 W FPGA + memoria, ~0,2 W chip AI) solo mentre si scaricano dati del payload, cioè durante i contatti (~71 min/giorno per satellite, A5.5), ~2,4–2,6 Wh/giorno; spenta fuori da riprese, elaborazione e scarichi</t>
        </is>
      </c>
      <c r="G93" s="47" t="inlineStr">
        <is>
          <t>Q2: coda nel computer di bordo (scheda spenta dopo l'elaborazione)</t>
        </is>
      </c>
      <c r="H93" s="47" t="inlineStr">
        <is>
          <t>Q2 farebbe risparmiare ~2,5 Wh/giorno su un totale dominato da spinta e riscaldatori, ma chiederebbe all'OBC decine di GB, un collegamento veloce verso la radio e copie in più, con OBC non ancora scelto né assegnato (D-038). La memoria da 32 GB della scheda esiste già (D-086)</t>
        </is>
      </c>
      <c r="I93" s="47" t="inlineStr">
        <is>
          <t>Bilancio di potenza (P-15, colonna Scarico), OBC (P-17, resta semplice), software di bordo (gestione della coda sulla scheda, D-073)</t>
        </is>
      </c>
      <c r="J93" s="47" t="n"/>
      <c r="K93" s="47" t="inlineStr">
        <is>
          <t>R-07</t>
        </is>
      </c>
      <c r="L93" s="47" t="inlineStr">
        <is>
          <t>Approvata</t>
        </is>
      </c>
      <c r="M93" s="47" t="n"/>
      <c r="N93" s="47" t="inlineStr">
        <is>
          <t>Chat del 30/10/2026 (A5.6.1)</t>
        </is>
      </c>
      <c r="O93" s="47" t="inlineStr">
        <is>
          <t>Risponde alla domanda di Giuseppe (A5.P6 provvisorio). Il suo conto usava 2,5 h/giorno (finestra del ricevitore S, D-084): con i contatti reali di ~71 min l'energia di attesa scende da ~5 a ~2,5 Wh/giorno, da confermare da Giuseppe in A5.P6 | 30/10/2026 (D-097, Proposta): con la scheda di riferimento (classe Xiphos Q8) l'attesa in scarico è 3,5 W (AI spento), ~4,1 Wh/giorno con 71 min di contatti.</t>
        </is>
      </c>
    </row>
    <row r="94" s="26">
      <c r="A94" s="47" t="inlineStr">
        <is>
          <t>D-093</t>
        </is>
      </c>
      <c r="B94" s="48" t="n">
        <v>46325</v>
      </c>
      <c r="C94" s="47" t="inlineStr">
        <is>
          <t>A5</t>
        </is>
      </c>
      <c r="D94" s="47" t="inlineStr">
        <is>
          <t>Giuseppe</t>
        </is>
      </c>
      <c r="E94" s="47" t="inlineStr">
        <is>
          <t>Payload</t>
        </is>
      </c>
      <c r="F94" s="47" t="inlineStr">
        <is>
          <t>Sensore diurno di riferimento: classe Sony IMX342 (CMOS a otturatore globale, 3,45 µm, 6480 × 4870, fino a ~70 fps; usata la finestra 6463 × 4840 nel campo corretto): GSD 1,49 m, swath 9,6 km, ~7,5 Gbit/s a 20 fps, ~5 W (camera commerciale con lo stesso sensore 5,3 W). Seconda fonte: Gpixel GMAX3265 (3,2 µm). Filtri RGB-NIR a strisce applicati sopra il sensore (D-025)</t>
        </is>
      </c>
      <c r="G94" s="47" t="inlineStr">
        <is>
          <t>Gpixel GMAX3265 come principale (1,38 m, ma luce per pixel 86%, SNR diurno −7%, 8,7 Gbit/s, sensore 29,9 × 22,4 mm più grande del posto nel piano focale); Teledyne e2v Emerald 67M USV (già selezionato per lo spazio, ma pixel 2,5 µm: luce 53%, SNR −27%, 13 Gbit/s, dettaglio oltre quello che il telescopio da 12 cm risolve); ams CMV12000 (molto usato in volo, ma pixel 5,5 µm = 2,4 m, A2 da rifare)</t>
        </is>
      </c>
      <c r="H94" s="47" t="inlineStr">
        <is>
          <t>Unico candidato che riempie esattamente il campo corretto del telescopio (D-088) con la risoluzione di A2 e la luce di A3; nitidezza di sistema a Nyquist 0,17 (DR-53). Commerciale senza prove di radiazione pubblicate: rischio R-52, gestito con prove in Fase B e seconda fonte con pixel quasi uguale</t>
        </is>
      </c>
      <c r="I94" s="47" t="inlineStr">
        <is>
          <t>SNR diurno e TDI (A3), scheda (D-081, D-085), potenza P-12, massa M-12, piano focale (D-027)</t>
        </is>
      </c>
      <c r="J94" s="47" t="inlineStr">
        <is>
          <t>DR-53, DR-54</t>
        </is>
      </c>
      <c r="K94" s="47" t="inlineStr">
        <is>
          <t>R-52</t>
        </is>
      </c>
      <c r="L94" s="47" t="inlineStr">
        <is>
          <t>Approvata</t>
        </is>
      </c>
      <c r="M94" s="47" t="n"/>
      <c r="N94" s="47" t="inlineStr">
        <is>
          <t>Chat del 30/10/2026 (A5.P5)</t>
        </is>
      </c>
      <c r="O94" s="47" t="inlineStr">
        <is>
          <t>Calcolo in a5_calcoli/p5_sensori.py. Dati: schede gophotonics (IMX342, GMAX3265), Imperx CXP-C6440 (5,3 W), articolo Teledyne space-screened (giugno 2025), prova protoni CMV12000 (SPIE 11180)</t>
        </is>
      </c>
    </row>
    <row r="95" s="26">
      <c r="A95" s="47" t="inlineStr">
        <is>
          <t>D-094</t>
        </is>
      </c>
      <c r="B95" s="48" t="n">
        <v>46325</v>
      </c>
      <c r="C95" s="47" t="inlineStr">
        <is>
          <t>A5</t>
        </is>
      </c>
      <c r="D95" s="47" t="inlineStr">
        <is>
          <t>Giuseppe</t>
        </is>
      </c>
      <c r="E95" s="47" t="inlineStr">
        <is>
          <t>Payload</t>
        </is>
      </c>
      <c r="F95" s="47" t="inlineStr">
        <is>
          <t>Sensore notturno di riferimento confermato: Gpixel GSENSE400BSI (sCMOS BSI, 2048 × 2048, 11 µm, otturatore a scorrimento con FMC, &lt; 0,6 W, QE ~0,8 a 650 nm, buio 0,4 e-/s a −20 °C). Va tenuto intorno a 0 °C o meno durante le riprese notturne (buio ≤ ~3 e-/s come in A3)</t>
        </is>
      </c>
      <c r="G95" s="47" t="inlineStr">
        <is>
          <t>GSENSE4040BSI (9 µm: quartiere a 3,9 m con 29 scatti = 580 ms oltre DR-11, oppure 7,8 m raggruppando; pacchetto 53 mm, &lt; 1,4 W; versione FSI in volo su GRBBeta dal 2024); GSENSE2020BSI (6,5 µm: stessa resa solo raggruppando a 5,6 m, swath 5,7 km invece di 9,7; provato a protoni fino a 100 krad, non in volo)</t>
        </is>
      </c>
      <c r="H95" s="47" t="inlineStr">
        <is>
          <t>Pixel adatto alla luce notturna con il nostro telescopio: 14 scatti in città, 10 nei paesi (D-089). La stessa tecnologia dei due fratelli: le loro prove (GSENSE2020BSI funzionante dopo 100 krad di protoni, rumore ×2, buio ×60) valgono come indizio; prova propria in Fase B (R-52)</t>
        </is>
      </c>
      <c r="I95" s="47" t="inlineStr">
        <is>
          <t>SNR notturno (DR-09), termico del sensore (radiatore D-095, A5.P7), potenza P-13</t>
        </is>
      </c>
      <c r="J95" s="47" t="inlineStr">
        <is>
          <t>DR-09, DR-54, DR-55</t>
        </is>
      </c>
      <c r="K95" s="47" t="inlineStr">
        <is>
          <t>R-52</t>
        </is>
      </c>
      <c r="L95" s="47" t="inlineStr">
        <is>
          <t>Approvata</t>
        </is>
      </c>
      <c r="M95" s="47" t="n"/>
      <c r="N95" s="47" t="inlineStr">
        <is>
          <t>Chat del 30/10/2026 (A5.P5)</t>
        </is>
      </c>
      <c r="O95" s="47" t="inlineStr">
        <is>
          <t>Calcolo in a5_calcoli/p5_sensori_notte.py. Fonti: scheda gophotonics GSENSE400BSI e GSENSE4040BSI; articolo LUVCam (arXiv 2607.28831) per GRBBeta, QUVIK e prova protoni del GSENSE2020BSI. Conferma D-026 (A2/A3)</t>
        </is>
      </c>
    </row>
    <row r="96" s="26">
      <c r="A96" s="47" t="inlineStr">
        <is>
          <t>D-095</t>
        </is>
      </c>
      <c r="B96" s="48" t="n">
        <v>46325</v>
      </c>
      <c r="C96" s="47" t="inlineStr">
        <is>
          <t>A5</t>
        </is>
      </c>
      <c r="D96" s="47" t="inlineStr">
        <is>
          <t>Giuseppe</t>
        </is>
      </c>
      <c r="E96" s="47" t="inlineStr">
        <is>
          <t>Termico</t>
        </is>
      </c>
      <c r="F96" s="47" t="inlineStr">
        <is>
          <t>Radiatori del payload sulla faccia laterale 226 × 454 mm rivolta dalla parte opposta al Sole (normale all'orbita), verso il fondo del satellite: sensore notturno ~100 cm² a ~−10 °C, scheda payload ~90 cm² a ~30 °C, in tutto ~190 cm² (stima con margine ×1,5, TBC fino ad A5.P7); vernice bianca</t>
        </is>
      </c>
      <c r="G96" s="47" t="inlineStr">
        <is>
          <t>Faccia zenit (~145 cm², il sensore non vede la Terra ma di giorno prende il Sole; condivisa con antenna S a zenit e star tracker); divisi (sensore a zenit, scheda sul lato: due facce occupate)</t>
        </is>
      </c>
      <c r="H96" s="47" t="inlineStr">
        <is>
          <t>In orbita eliosincrona 10:30/22:30 la faccia dalla parte opposta al Sole non vede quasi mai il Sole diretto: è inutile per i pannelli solari, quindi non toglie spazio ad A5.6; vede la Terra al 31% (radiatore un po' più grande). La scheda accumula il picco di 6 W nella sua massa (+9 K a passaggio): il radiatore smaltisce la media</t>
        </is>
      </c>
      <c r="I96" s="47" t="inlineStr">
        <is>
          <t>Pannelli solari sul corpo e layout (A5.6, A5.7 Giuliano): il telescopio conviene da quel lato; assetti con rollio (riprese a 45°, roll bias) da verificare; termico del payload (A5.P7)</t>
        </is>
      </c>
      <c r="J96" s="47" t="inlineStr">
        <is>
          <t>DR-55</t>
        </is>
      </c>
      <c r="K96" s="47" t="inlineStr">
        <is>
          <t>R-51</t>
        </is>
      </c>
      <c r="L96" s="47" t="inlineStr">
        <is>
          <t>Approvata</t>
        </is>
      </c>
      <c r="M96" s="47" t="n"/>
      <c r="N96" s="47" t="inlineStr">
        <is>
          <t>Chat del 30/10/2026 (A5.P5, richiesta di Giuliano per A5.6)</t>
        </is>
      </c>
      <c r="O96" s="47" t="inlineStr">
        <is>
          <t>Proposta: occupa superficie sulle facce di Giuliano. Calcolo in a5_calcoli/p7_radiatori_stima.py (emissività 0,85, assorbimento 0,20, IR terrestre 237 W/m², perdite verso l'interno ~0,5 W) | 30/10/2026 Giuliano: approvata. Lato EPS nessun conflitto: angolo beta sempre positivo (11–44° nei 2 anni, A5.6.2), quindi la faccia normale all'orbita opposta al Sole non lo vede nell'assetto nominale e lascia libera per i pannelli la faccia dal lato del Sole. Esposizione al Sole di quella faccia con il rollio delle riprese a 45° e in safe: la calcola Giuliano in A5.6.5 (pannelli e assetti) | 30/10/2026 (D-106, Proposta): con il rollio fisso di 31–52° verso il Sole fuori dalle riprese la faccia dei radiatori guarda di più la Terra: vista della Terra da rifare (Giuseppe) | 30/10/2026 (D-106 Approvata, D-107): con il rollio fisso la faccia dei radiatori vede meno Terra (0,02–0,10) e il Sole per ~30 min/orbita a 70–78°: aree invariate; da spenti servono riscaldatori di sopravvivenza (D-107)</t>
        </is>
      </c>
    </row>
    <row r="97" s="26">
      <c r="A97" s="47" t="inlineStr">
        <is>
          <t>D-096</t>
        </is>
      </c>
      <c r="B97" s="48" t="n">
        <v>46325</v>
      </c>
      <c r="C97" s="47" t="inlineStr">
        <is>
          <t>A5</t>
        </is>
      </c>
      <c r="D97" s="47" t="inlineStr">
        <is>
          <t>Giuseppe</t>
        </is>
      </c>
      <c r="E97" s="47" t="inlineStr">
        <is>
          <t>GNC</t>
        </is>
      </c>
      <c r="F97" s="47" t="inlineStr">
        <is>
          <t>Ripresa diurna con rallentamento della scena (slow-down, fattore 2): durante ogni scena il satellite ruota all'indietro in beccheggio a metà della velocità angolare della linea di vista (~0,70°/s a nadir; ~0,50°/s a 45° di traverso, ~0,35°/s a 45° lungo traccia), così il terreno scorre sul sensore a metà velocità. Scatto 0,2 ms invariato (mosso 0,5 pixel invece di 1), TDI digitale a 4 passaggi con ~10 immagini/s, scena ~2,6 s invece di ~1,3 s (rotazione ~1,8° a scena)</t>
        </is>
      </c>
      <c r="G97" s="47" t="inlineStr">
        <is>
          <t>A: lasciare 0,2 ms senza rallentamento (mosso 1 pixel: nitidezza lungo traccia 0,07 contro 0,10 di traverso); B: 0,1 ms con 8 passaggi a 40 immagini/s (stessa nitidezza e SNR di E, ma ~15 Gbit/s e il sensore a 12 bit forse non arriva a 40 immagini/s); C: 0,1 ms con 4 passaggi (nitidezza come E ma SNR diurno −30%: tipico ~46, inverno scuro ~18)</t>
        </is>
      </c>
      <c r="H97" s="47" t="inlineStr">
        <is>
          <t>Unica opzione che migliora la nitidezza lungo traccia (0,067 → 0,094 al centro, 0,055 → 0,078 all'angolo) senza perdere SNR (tipico ~65, inverno scuro ~26) e dimezzando i dati verso la scheda (~3,7 Gbit/s invece di 7,5). Manovra della stessa famiglia della FMC notturna (D-044), più lenta e più lunga</t>
        </is>
      </c>
      <c r="I97" s="47" t="inlineStr">
        <is>
          <t>ADCS (Giuliano): profilo di beccheggio in ripresa diurna, durata della finestra per scena e numero di scene per passaggio (D-072); DR-12 e DR-13 (frequenza e dati più bassi); riallineamento TDI (DR-26); yaw steering (DR-24)</t>
        </is>
      </c>
      <c r="J97" s="47" t="inlineStr">
        <is>
          <t>DR-12, DR-13, DR-24, DR-26, DR-53, DR-56</t>
        </is>
      </c>
      <c r="K97" s="47" t="inlineStr">
        <is>
          <t>R-53</t>
        </is>
      </c>
      <c r="L97" s="47" t="inlineStr">
        <is>
          <t>Approvata</t>
        </is>
      </c>
      <c r="M97" s="47" t="n"/>
      <c r="N97" s="47" t="inlineStr">
        <is>
          <t>Chat del 30/10/2026 (A5.P5)</t>
        </is>
      </c>
      <c r="O97" s="47" t="inlineStr">
        <is>
          <t>Proposta: aggiunge una manovra in ripresa diurna. Calcolo in a5_calcoli/p5_mtf_sistema.py. Ripiego se l'ADCS non la regge: opzione C | 30/10/2026 Giuliano: in valutazione nel sotto-passo GNC A5.4.4 (dopo A5.6.2, prima di A5.6.3). Stima di primo ordine: momento ~0,014 N·m·s (I = 1,14 kg·m², 0,70°/s) contro 0,030 di D-045; coppia ~0,003 N·m con rampa di 5 s, sotto i 7 mN·m delle ruote | 30/10/2026 Giuliano: approvata in A5.4.4 con le condizioni di D-101 (ripresa 4,2 s, rotazione 2,9° a nadir, calibrazione del fattore di scala, DR-58)</t>
        </is>
      </c>
    </row>
    <row r="98" s="26">
      <c r="A98" s="47" t="inlineStr">
        <is>
          <t>D-097</t>
        </is>
      </c>
      <c r="B98" s="48" t="n">
        <v>46325</v>
      </c>
      <c r="C98" s="47" t="inlineStr">
        <is>
          <t>A5</t>
        </is>
      </c>
      <c r="D98" s="47" t="inlineStr">
        <is>
          <t>Giuseppe</t>
        </is>
      </c>
      <c r="E98" s="47" t="inlineStr">
        <is>
          <t>Potenza</t>
        </is>
      </c>
      <c r="F98" s="47" t="inlineStr">
        <is>
          <t>Potenze del payload per modo (A5.P6), con prodotti di riferimento già in volo: scheda FPGA classe Xiphos Q8 (5 W tipici) e chip AI classe Ubotica CogniSAT-XE1 (2 W tipici). Ripresa diurna 12 W (sensore 5 + FPGA 5 + AI 2), ripresa notturna 9 W (2 + 5 + 2), scarico 3,5 W (solo FPGA, AI spento), spinta e riposo/safe 0 W (riscaldatori a parte, P-23, da A5.P7). Energia ~7 Wh/giorno in routine (1 passaggio diurno + 1 notturno), ~10 Wh in emergenza (2 + 2)</t>
        </is>
      </c>
      <c r="G98" s="47" t="inlineStr">
        <is>
          <t>Valori provvisori del 30/10 (FPGA ~6 W, scarico 2 W + AI 0,2 W): stime senza prodotto di riferimento</t>
        </is>
      </c>
      <c r="H98" s="47" t="inlineStr">
        <is>
          <t>Valori dalle schede di prodotti della classe scelta (D-085): Xiphos Q8 5 W tipici, minimo 3,5 W; CogniSAT-XE1 2 W tipici, 5 W massimi; camera con IMX342 5,3 W; GSENSE400BSI &lt; 0,6 W. Scheda in ripresa da 8 a 7 W; in scarico da 2,2 a 3,5 W (+~1,5 Wh/giorno, minimo dichiarato della classe; da ridurre in Fase B tenendo acceso solo il processore, TBC)</t>
        </is>
      </c>
      <c r="I98" s="47" t="inlineStr">
        <is>
          <t>Bilancio di potenza (P-12…P-16, Giuliano A5.6), D-092 (potenza di attesa in scarico), termico del payload (A5.P7)</t>
        </is>
      </c>
      <c r="J98" s="47" t="inlineStr">
        <is>
          <t>DR-13</t>
        </is>
      </c>
      <c r="K98" s="47" t="n"/>
      <c r="L98" s="47" t="inlineStr">
        <is>
          <t>Approvata</t>
        </is>
      </c>
      <c r="M98" s="47" t="n"/>
      <c r="N98" s="47" t="inlineStr">
        <is>
          <t>Chat del 30/10/2026 (A5.P6)</t>
        </is>
      </c>
      <c r="O98" s="47" t="inlineStr">
        <is>
          <t>Proposta: cambia i valori di P-15 che Giuliano ha nel bilancio. Calcolo in a5_calcoli/p6_potenza.py. Fonti: scheda Xiphos Q8 Rev C; brief Ubotica CogniSAT-XE1 v4.12; Imperx CXP-C6440; gophotonics GSENSE400BSI | 30/10/2026 Giuliano: approvata. Conti ricontrollati (passaggio diurno ~1,6 Wh, notturno ~1,2 Wh, scarico 3,5 W × 71 min ≈ 4,1 Wh/giorno). Totali del bilancio con margini: ripresa diurna 36,3 W, notturna 32,4 W, scarico 44,9 W (senza OBC, EPS e termico di piattaforma, ancora TBD)</t>
        </is>
      </c>
    </row>
    <row r="99" s="26">
      <c r="A99" s="47" t="inlineStr">
        <is>
          <t>D-098</t>
        </is>
      </c>
      <c r="B99" s="48" t="n">
        <v>46325</v>
      </c>
      <c r="C99" s="47" t="inlineStr">
        <is>
          <t>A5</t>
        </is>
      </c>
      <c r="D99" s="47" t="inlineStr">
        <is>
          <t>Giuseppe</t>
        </is>
      </c>
      <c r="E99" s="47" t="inlineStr">
        <is>
          <t>Payload</t>
        </is>
      </c>
      <c r="F99" s="47" t="inlineStr">
        <is>
          <t>Distanza tra primario e secondario tenuta da 4 aste in Invar (Ø ~6 mm, ~170 mm, ~155 g) invece che dal tubo in carbonio, che resta come guscio contro la luce (più sottile, ~1 mm). Specchi in vetro a bassa dilatazione (classe Zerodur, ≤ ~0,1 ppm/K); attacco del piano focale in Invar. Fuoco: 1,7 µm/K → telescopio da tenere entro ±11 K dalla temperatura di regolazione; nessun effetto dell'umidità</t>
        </is>
      </c>
      <c r="G99" s="47" t="inlineStr">
        <is>
          <t>Motorino di messa a fuoco sul secondario (~80 g, corregge tutto ma è un meccanismo in più: riserva per la Fase B); carbonio con barriera all'umidità (riduce ma non elimina: 20–100 ppm di accorciamento = 27–137 µm di fuoco); struttura e specchi in carburo di silicio (atermico, ma costoso e fuori misura per un CubeSat); solo pre-correzione a terra (se la stima sbaglia non si recupera)</t>
        </is>
      </c>
      <c r="H99" s="47" t="inlineStr">
        <is>
          <t>Il fuoco è molto sensibile alla distanza tra gli specchi (+1 µm → −8,1 µm al fuoco, calcolato raggio per raggio): il carbonio che perde umidità nel vuoto porterebbe il fuoco fuori da ±37 µm (DR-03). L'Invar non assorbe acqua e si dilata poco; ±11 K si tengono con i riscaldatori (D-100). Massa del telescopio circa invariata (aste +0,16 kg, tubo più sottile −0,24 kg)</t>
        </is>
      </c>
      <c r="I99" s="47" t="inlineStr">
        <is>
          <t>Struttura del telescopio (D-090: il carbonio non è più strutturale tra gli specchi), termico (DR-57, D-100), massa M-11 (circa invariata), prima frequenza propria (DR-38, Fase B)</t>
        </is>
      </c>
      <c r="J99" s="47" t="inlineStr">
        <is>
          <t>DR-03, DR-57, DR-38</t>
        </is>
      </c>
      <c r="K99" s="47" t="inlineStr">
        <is>
          <t>R-49</t>
        </is>
      </c>
      <c r="L99" s="47" t="inlineStr">
        <is>
          <t>Approvata</t>
        </is>
      </c>
      <c r="M99" s="47" t="n"/>
      <c r="N99" s="47" t="inlineStr">
        <is>
          <t>Chat del 30/10/2026 (A5.P7)</t>
        </is>
      </c>
      <c r="O99" s="47" t="inlineStr">
        <is>
          <t>Calcolo in a5_calcoli/p4_ottica/fuoco_termico.py (con specchi Zerodur e tubo in carbonio da 0,5 ppm/K il fuoco sarebbe 0,72 µm/K, ±26 K, ma senza protezione dall'umidità)</t>
        </is>
      </c>
    </row>
    <row r="100" s="26">
      <c r="A100" s="47" t="inlineStr">
        <is>
          <t>D-099</t>
        </is>
      </c>
      <c r="B100" s="48" t="n">
        <v>46325</v>
      </c>
      <c r="C100" s="47" t="inlineStr">
        <is>
          <t>A5</t>
        </is>
      </c>
      <c r="D100" s="47" t="inlineStr">
        <is>
          <t>Giuseppe</t>
        </is>
      </c>
      <c r="E100" s="47" t="inlineStr">
        <is>
          <t>Propulsione</t>
        </is>
      </c>
      <c r="F100" s="47" t="inlineStr">
        <is>
          <t>Valore di N in D-074: spinta vietata da 30 minuti prima di ogni ripresa pianificata (TBC), fino a 5 minuti dopo come in D-074. Da misurare al commissioning (fuoco e temperatura del telescopio dopo la spinta) e ridurre se possibile</t>
        </is>
      </c>
      <c r="G100" s="47" t="inlineStr">
        <is>
          <t>15 minuti (basterebbe per la temperatura media del telescopio, ma senza margine per i gradienti vicino al motore, non ancora calcolati); 60 minuti (valore provvisorio: più riprese d'emergenza col rischio di prima immagine degradata)</t>
        </is>
      </c>
      <c r="H100" s="47" t="inlineStr">
        <is>
          <t>Il telescopio è isolato e lento (costante di tempo ~1–4 h con attacchi da 0,1–0,3 W/K): se il motore scalda l'interno di 5 K, dopo 30 min il telescopio sale di ~1–2 K contro i ±11 K ammessi (D-098). Tempo di spinta disponibile ancora più largo che con 60 min (Giuliano, D-074: 22,4 h/giorno con 60 min)</t>
        </is>
      </c>
      <c r="I100" s="47" t="inlineStr">
        <is>
          <t>Piano operativo e spinta (D-074, DR-46, Giuliano), riprese d'emergenza, commissioning</t>
        </is>
      </c>
      <c r="J100" s="47" t="inlineStr">
        <is>
          <t>DR-46</t>
        </is>
      </c>
      <c r="K100" s="47" t="inlineStr">
        <is>
          <t>R-24</t>
        </is>
      </c>
      <c r="L100" s="47" t="inlineStr">
        <is>
          <t>Approvata</t>
        </is>
      </c>
      <c r="M100" s="47" t="n"/>
      <c r="N100" s="47" t="inlineStr">
        <is>
          <t>Chat del 30/10/2026 (A5.P7)</t>
        </is>
      </c>
      <c r="O100" s="47" t="inlineStr">
        <is>
          <t>Proposta: fissa un valore del piano di spinta di Giuliano. Calcolo in a5_calcoli/p7_termico.py. Il modello termico completo (gradienti dal motore, posizione della REGULUS nel layout A5.7) in Fase B | 30/10/2026 Giuliano: approvata. Più tempo per la spinta (con 60 min restavano 22,4 h/giorno, D-074); entra nella strategia di spinta (A5.6.4)</t>
        </is>
      </c>
    </row>
    <row r="101" s="26">
      <c r="A101" s="47" t="inlineStr">
        <is>
          <t>D-100</t>
        </is>
      </c>
      <c r="B101" s="48" t="n">
        <v>46325</v>
      </c>
      <c r="C101" s="47" t="inlineStr">
        <is>
          <t>A5</t>
        </is>
      </c>
      <c r="D101" s="47" t="inlineStr">
        <is>
          <t>Giuseppe</t>
        </is>
      </c>
      <c r="E101" s="47" t="inlineStr">
        <is>
          <t>Termico</t>
        </is>
      </c>
      <c r="F101" s="47" t="inlineStr">
        <is>
          <t>Termico del payload: telescopio regolato con riscaldatori a una temperatura vicina a quella media dell'interno (~15–20 °C, TBC) entro ±11 K; coperte isolanti (MLI) sulla colonna e attacchi isolati (0,1–0,3 W/K); coperchio chiuso fuori dalle riprese. Riscaldatori: ~4 W di picco a coperchio aperto, ~2 W in media in operazioni, ~1 W in safe (solo sopravvivenza). Radiatori come D-095</t>
        </is>
      </c>
      <c r="G101" s="47" t="inlineStr">
        <is>
          <t>Riscaldatori sempre accesi a 4 W (valore provvisorio, ~96 Wh/giorno); nessuna regolazione (fuoco non garantito)</t>
        </is>
      </c>
      <c r="H101" s="47" t="inlineStr">
        <is>
          <t>Bilancio semplice: perdita dall'apertura aperta verso la Terra ~1,8–2,3 W, coperchio chiuso ~0,2 W, MLI 0,1–0,7 W, più la conduzione verso l'interno che dipende dalla temperatura di regolazione. In safe il fuoco non serve: basta restare nei limiti di sopravvivenza</t>
        </is>
      </c>
      <c r="I101" s="47" t="inlineStr">
        <is>
          <t>Bilancio di potenza P-23 (Giuliano: valori più bassi del provvisorio), termico di piattaforma (temperatura interna), D-095</t>
        </is>
      </c>
      <c r="J101" s="47" t="inlineStr">
        <is>
          <t>DR-03, DR-55, DR-57</t>
        </is>
      </c>
      <c r="K101" s="47" t="inlineStr">
        <is>
          <t>R-24, R-49, R-51</t>
        </is>
      </c>
      <c r="L101" s="47" t="inlineStr">
        <is>
          <t>Approvata</t>
        </is>
      </c>
      <c r="M101" s="47" t="n"/>
      <c r="N101" s="47" t="inlineStr">
        <is>
          <t>Chat del 30/10/2026 (A5.P7)</t>
        </is>
      </c>
      <c r="O101" s="47" t="inlineStr">
        <is>
          <t>Proposta: cambia P-23 nel bilancio di Giuliano. Calcolo in a5_calcoli/p7_termico.py; modello termico vero in Fase B | 30/10/2026 Giuliano: approvata. Energia dei riscaldatori del payload da ~96 a ~48 Wh/giorno in operazioni (~24 Wh in safe). Nel budget P-23 la colonna Riposo/safe porta 1 W (safe): nel profilo orbita per orbita (A5.6.3) il riposo in operazioni usa 2 W | 30/10/2026 (D-107, Proposta): +1 W di riscaldatori di sopravvivenza per sensore notturno e scheda fuori dalle riprese: P-23 4/4/3/3/2 W</t>
        </is>
      </c>
    </row>
    <row r="102" s="26">
      <c r="A102" s="47" t="inlineStr">
        <is>
          <t>D-101</t>
        </is>
      </c>
      <c r="B102" s="48" t="n">
        <v>46325</v>
      </c>
      <c r="C102" s="47" t="inlineStr">
        <is>
          <t>A5</t>
        </is>
      </c>
      <c r="D102" s="47" t="inlineStr">
        <is>
          <t>Giuliano</t>
        </is>
      </c>
      <c r="E102" s="47" t="inlineStr">
        <is>
          <t>GNC</t>
        </is>
      </c>
      <c r="F102" s="47" t="inlineStr">
        <is>
          <t>Risposta a D-096 (opzione A): rallentamento ×2 fattibile. Rampa del beccheggio dentro lo slew di 60 s verso il bersaglio (nominale); tra due bersagli senza slew rampe separate con coppia pianificata ≤ 1 mN·m partendo da un assetto già inclinato in avanti (23 s a nadir, 16 s a 45° di traverso, 12 s a 45° lungo traccia). Ripresa per scena 4,2 s (scena 2,6 s + bande 1,58 s), rotazione 2,9° a nadir. Fattore di scala del giroscopio di beccheggio calibrato in volo contro lo star tracker (DR-58)</t>
        </is>
      </c>
      <c r="G102" s="47" t="inlineStr">
        <is>
          <t>B: rampe separate a 3 mN·m (bersagli senza slew a ~160 km invece di ~380 km, ma assestamento 2,1–3,2 s, 9,2 s prima del commissioning, fuori DR-08; picchi di potenza delle ruote più alti); C: rifiutare D-096 e usare 0,1 ms senza manovra (SNR diurno −30%)</t>
        </is>
      </c>
      <c r="H102" s="47" t="inlineStr">
        <is>
          <t>Simulazione 1-asse (banda 1 rad/s, 10 Hz, GY2, inerzia 0,64–1,14, stimata ±10% e nominale): coppia ≤ 1,0 mN·m (rampa nello slew), momento ≤ 0,013 N·m·s, errore in scena ≤ 0,012°, deriva in scena ≤ 0,001°/s dopo l'assestamento (0–0,65 s, 2,0 s prima del commissioning). Tempo aggiunto +2,1–2,7 s per scena (~+20 km tra bersagli): scene possibili 2,7 → 2,6 al giorno, passaggi con 4 scene 44% → 33%, giorni con ≥ 4 scene 40% → 30%. Vincolo nuovo: con la rotazione a 0,77°/s e 1,58 s tra le bande il fattore di scala ammesso scende da ~2.500 a ~80 ppm (CRH03: 1.500–3.000 ppm sulla temperatura)</t>
        </is>
      </c>
      <c r="I102" s="47" t="inlineStr">
        <is>
          <t>ADCS (profilo e software di guida), commissioning e calibrazione periodica del giroscopio, pianificazione delle riprese diurne (A6: bersagli senza slew ≥ ~380 km), DR-56 (durata e rotazione, Giuseppe), DR-18, DR-08</t>
        </is>
      </c>
      <c r="J102" s="47" t="inlineStr">
        <is>
          <t>DR-56, DR-58, DR-18, DR-08, DR-05, DR-15</t>
        </is>
      </c>
      <c r="K102" s="47" t="inlineStr">
        <is>
          <t>R-53, R-54</t>
        </is>
      </c>
      <c r="L102" s="47" t="inlineStr">
        <is>
          <t>Approvata</t>
        </is>
      </c>
      <c r="M102" s="47" t="n"/>
      <c r="N102" s="47" t="inlineStr">
        <is>
          <t>A5.4.4 (GNC) – chat del 30/10/2026; PULSE_ADCS/A5.4 (rallentamento_diurno.py)</t>
        </is>
      </c>
      <c r="O102" s="47" t="inlineStr">
        <is>
          <t>Proposta: cambia durata della ripresa (2,6 → 4,2 s) e rotazione (1,8° → 2,9°) di DR-56, valori di Giuseppe. Rampa nello slew a nadir: coppia pianificata 1,06 mN·m (6% sopra la regola di D-045; si rientra con slew di 63 s o beccheggio di partenza in avanti). Ripiego se la calibrazione non basta: riallineamento delle bande per correlazione d'immagine (DR-26, Giuseppe). Numerazione: A5.4.4 esiste già nel README di A5.4 (altri modi), da rinumerare se serve | 30/10/2026 Giuseppe: approvata. Frame e dati invariati: 42 immagini per scena (prima ~2,1 s × 20 immagini/s, ora ~4,2 s × ~10 immagini/s), stessi MB per scena, ~3,7 Gbit/s verso la scheda (DR-12, DR-13); cambia solo la durata. La correlazione tra le bande a bordo (DR-26) si usa come complemento del giroscopio, non solo come ripiego</t>
        </is>
      </c>
    </row>
    <row r="103" s="26">
      <c r="A103" s="47" t="inlineStr">
        <is>
          <t>D-102</t>
        </is>
      </c>
      <c r="B103" s="48" t="n">
        <v>46325</v>
      </c>
      <c r="C103" s="47" t="inlineStr">
        <is>
          <t>A5</t>
        </is>
      </c>
      <c r="D103" s="47" t="inlineStr">
        <is>
          <t>Giuliano</t>
        </is>
      </c>
      <c r="E103" s="47" t="inlineStr">
        <is>
          <t>Potenza</t>
        </is>
      </c>
      <c r="F103" s="47" t="inlineStr">
        <is>
          <t>Valori di progetto di luce ed eclisse per il bilancio di potenza (a): eclisse massima 36,0 min per orbita (umbra + penombra, GMAT su 2 anni), luce minima 54,5 min su un periodo di 90,56 min (15,9 orbite/giorno, ~11.600 cicli della batteria in 2 anni). Nessuna orbita senza eclisse; angolo beta sempre dello stesso segno. Passaggio diurno sull'Italia ~10–25 min dopo l'uscita dall'ombra; passaggio notturno in fondo all'eclisse (~0–15 min prima dell'uscita)</t>
        </is>
      </c>
      <c r="G103" s="47" t="inlineStr">
        <is>
          <t>b: 36,6 min dal modello Python (ombra conica, Terra sferica, senza Luna), ~2% più prudente</t>
        </is>
      </c>
      <c r="H103" s="47" t="inlineStr">
        <is>
          <t>GMAT (JGM3 4×4, Sole e Luna, eclipse locator su 11.590 eclissi) è lo strumento di riferimento del progetto; Python conferma entro ~1 min (GMAT ~50 s più corto). Il margine si mette sulla batteria e sulla potenza (D-035), non sul tempo</t>
        </is>
      </c>
      <c r="I103" s="47" t="inlineStr">
        <is>
          <t>Dimensionamento di pannelli e batteria (A5.6.5–A5.6.7), profilo orbita per orbita (A5.6.3), strategia di spinta (A5.6.4), termico del payload (durata del buio, A5.P7)</t>
        </is>
      </c>
      <c r="J103" s="47" t="n"/>
      <c r="K103" s="47" t="inlineStr">
        <is>
          <t>R-07</t>
        </is>
      </c>
      <c r="L103" s="47" t="inlineStr">
        <is>
          <t>Approvata</t>
        </is>
      </c>
      <c r="M103" s="47" t="n"/>
      <c r="N103" s="47" t="inlineStr">
        <is>
          <t>Chat del 30/10/2026 (A5.6.2); PULSE_EPS/A5.6 (luce_eclisse.py, confronto_gmat.py, gmat/)</t>
        </is>
      </c>
      <c r="O103" s="47" t="inlineStr">
        <is>
          <t>Ombra GMAT per orbita 34,7–36,0 min (media 35,5); penombra ~0,3 min. Per Giuseppe: valore del buio per l'analisi termica (A5.P7)</t>
        </is>
      </c>
    </row>
    <row r="104" s="26">
      <c r="A104" s="47" t="inlineStr">
        <is>
          <t>D-103</t>
        </is>
      </c>
      <c r="B104" s="48" t="n">
        <v>46325</v>
      </c>
      <c r="C104" s="47" t="inlineStr">
        <is>
          <t>A5</t>
        </is>
      </c>
      <c r="D104" s="47" t="inlineStr">
        <is>
          <t>Giuliano</t>
        </is>
      </c>
      <c r="E104" s="47" t="inlineStr">
        <is>
          <t>Orbita</t>
        </is>
      </c>
      <c r="F104" s="47" t="inlineStr">
        <is>
          <t>Inclinazione di iniezione 96,8° (D-012) confermata (A), con motivazione corretta: la deriva vera dell'inclinazione media non è −0,33°/anno (MDR, da EarthNext con formula semplificata) ma ~−0,05°/anno con un'oscillazione annua di ±0,15° (GMAT, Sole e Luna, 2 anni). Effetto: ora del nodo discendente da 10:30 a 9:56 in 2 anni (−34 min)</t>
        </is>
      </c>
      <c r="G104" s="47" t="inlineStr">
        <is>
          <t>B: alzare il bias per tenere l'ora vicina alle 10:30 (nuovo GMAT e nuovo requisito di lancio senza un bisogno vero); C: fissare prima una tolleranza sull'ora (rimandata ad A6 come DR-59)</t>
        </is>
      </c>
      <c r="H104" s="47" t="inlineStr">
        <is>
          <t>Con 96,8° l'ora resta tra 9:56 e 10:30 per tutta la vita: luce del mattino e ombre utili sull'Italia mantenute; lancio (A1-bis), GMAT e report già fatti restano validi</t>
        </is>
      </c>
      <c r="I104" s="47" t="inlineStr">
        <is>
          <t>D-012 (solo la motivazione), requisito di lancio di A1-bis invariato, illuminazione delle riprese diurne (ora 10:00–10:30)</t>
        </is>
      </c>
      <c r="J104" s="47" t="inlineStr">
        <is>
          <t>DR-59</t>
        </is>
      </c>
      <c r="K104" s="47" t="n"/>
      <c r="L104" s="47" t="inlineStr">
        <is>
          <t>Approvata</t>
        </is>
      </c>
      <c r="M104" s="47" t="n"/>
      <c r="N104" s="47" t="inlineStr">
        <is>
          <t>Chat del 30/10/2026 (A5.6.2); PULSE_EPS/A5.6/confronto_gmat.py</t>
        </is>
      </c>
      <c r="O104" s="47" t="inlineStr">
        <is>
          <t>Python con −0,33°/anno dava 9:01 a fine vita, con −0,030°/anno (media di Gauss del solo Sole, deriva_inclinazione.py) 11:09: il secondo sbagliava perché usava l'inclinazione eliosincrona da solo J2 (96,68° invece di ~96,70°) e non vedeva l'oscillazione annua</t>
        </is>
      </c>
    </row>
    <row r="105" s="26">
      <c r="A105" s="47" t="inlineStr">
        <is>
          <t>D-104</t>
        </is>
      </c>
      <c r="B105" s="48" t="n">
        <v>46325</v>
      </c>
      <c r="C105" s="47" t="inlineStr">
        <is>
          <t>A5</t>
        </is>
      </c>
      <c r="D105" s="47" t="inlineStr">
        <is>
          <t>Giuliano</t>
        </is>
      </c>
      <c r="E105" s="47" t="inlineStr">
        <is>
          <t>Potenza</t>
        </is>
      </c>
      <c r="F105" s="47" t="inlineStr">
        <is>
          <t>Valori provvisori per le voci di piattaforma ancora vuote del bilancio di potenza: computer di bordo 0,4 W (classe ISIS iOBC, 400 mW medi) e EPS a vuoto 0,6 W (classe GomSpace NanoPower P60 con ACU e PDU, 600 mW in attesa); rendimento di conversione a parte (A5.6.6); riscaldatori della batteria TBD fino alla scelta della batteria (A5.6.6). Motore REGULUS: 50 W d'ingresso comprensivi del riscaldamento dello iodio (il datasheet non lo dà a parte)</t>
        </is>
      </c>
      <c r="G105" s="47" t="inlineStr">
        <is>
          <t>Lasciare le voci vuote fino alla scelta dei prodotti (bilancio dei modi incompleto)</t>
        </is>
      </c>
      <c r="H105" s="47" t="inlineStr">
        <is>
          <t>Servono numeri per costruire i modi e le orbite tipo (A5.6.3); valori di prodotti di classe già in volo, sostituibili quando si sceglierà l'OBC (D-038 ancora aperta) e l'EPS</t>
        </is>
      </c>
      <c r="I105" s="47" t="inlineStr">
        <is>
          <t>Budget P-17 e P-20; tabella dei modi (base sempre accesa 12,7 W); bilancio orbita per orbita</t>
        </is>
      </c>
      <c r="J105" s="47" t="n"/>
      <c r="K105" s="47" t="inlineStr">
        <is>
          <t>R-07</t>
        </is>
      </c>
      <c r="L105" s="47" t="inlineStr">
        <is>
          <t>Provvisoria</t>
        </is>
      </c>
      <c r="M105" s="47" t="n"/>
      <c r="N105" s="47" t="inlineStr">
        <is>
          <t>Chat del 30/10/2026 (A5.6.3); PULSE_EPS/A5.6/modi_potenza.py</t>
        </is>
      </c>
      <c r="O105" s="47" t="inlineStr">
        <is>
          <t>Fonti: brochure ISIS iOBC; datasheet GomSpace NanoPower P60 ACU-200; datasheet T4i REGULUS (50 W, 20–60 W, 12 V). OBC senza responsabile (D-038): il valore resta TBC anche per chi lo prenderà</t>
        </is>
      </c>
    </row>
    <row r="106" s="26">
      <c r="A106" s="47" t="inlineStr">
        <is>
          <t>D-105</t>
        </is>
      </c>
      <c r="B106" s="48" t="n">
        <v>46325</v>
      </c>
      <c r="C106" s="47" t="inlineStr">
        <is>
          <t>A5</t>
        </is>
      </c>
      <c r="D106" s="47" t="inlineStr">
        <is>
          <t>Giuliano</t>
        </is>
      </c>
      <c r="E106" s="47" t="inlineStr">
        <is>
          <t>Propulsione</t>
        </is>
      </c>
      <c r="F106" s="47" t="inlineStr">
        <is>
          <t>Strategia di spinta per la potenza (A): motore acceso solo in luce e fermo durante la trasmissione in banda S ai contatti (oltre al divieto prima e dopo le riprese di D-074/D-099). Picco con margini ~86 W (spinta); energia chiesta alla batteria nel caso peggiore ~16 Wh per orbita (ripresa notturna in fondo all'eclisse)</t>
        </is>
      </c>
      <c r="G106" s="47" t="inlineStr">
        <is>
          <t>B: solo in luce ma contatti anche durante la spinta (picco ~110 W con margini); C: spinta anche in eclissi (batteria ~54 Wh per orbita, 3–4 volte più grande)</t>
        </is>
      </c>
      <c r="H106" s="47" t="inlineStr">
        <is>
          <t>Tempo abbondante: ~14,4 h di luce al giorno (D-102) contro 4,2–7,8 h di spinta e ~1,2 h di contatti; fermare il motore nei ~71 min di trasmissione costa poco e tiene piccoli batteria e picco</t>
        </is>
      </c>
      <c r="I106" s="47" t="inlineStr">
        <is>
          <t>Dimensionamento di pannelli e batteria (A5.6.5–A5.6.7), software di bordo (gestione motore–radio), piano operativo (R-14), discesa iniziale D-021 (motore al 50% ≈ 12 h/giorno: con la sola luce usa ~83% del tempo di luce; se non basta la discesa si allunga di qualche giorno). D-068 resta valida: per l'antenna contatti e spinta possono convivere, per la potenza si separano</t>
        </is>
      </c>
      <c r="J106" s="47" t="inlineStr">
        <is>
          <t>DR-60</t>
        </is>
      </c>
      <c r="K106" s="47" t="inlineStr">
        <is>
          <t>R-07, R-14</t>
        </is>
      </c>
      <c r="L106" s="47" t="inlineStr">
        <is>
          <t>Approvata</t>
        </is>
      </c>
      <c r="M106" s="47" t="n"/>
      <c r="N106" s="47" t="inlineStr">
        <is>
          <t>Chat del 30/10/2026 (A5.6.4); PULSE_EPS/A5.6/orbite_tipo.py</t>
        </is>
      </c>
      <c r="O106" s="47" t="inlineStr">
        <is>
          <t>Orbite tipo A5.6.3 (con margini): spinta solo in luce 89 Wh/orbita, 11 Wh al buio; spinta su tutta l'orbita 130 Wh, 52 Wh al buio; con contatto al buio picco 110 W</t>
        </is>
      </c>
    </row>
    <row r="107" s="26">
      <c r="A107" s="47" t="inlineStr">
        <is>
          <t>D-106</t>
        </is>
      </c>
      <c r="B107" s="48" t="n">
        <v>46325</v>
      </c>
      <c r="C107" s="47" t="inlineStr">
        <is>
          <t>A5</t>
        </is>
      </c>
      <c r="D107" s="47" t="inlineStr">
        <is>
          <t>Giuliano</t>
        </is>
      </c>
      <c r="E107" s="47" t="inlineStr">
        <is>
          <t>Potenza</t>
        </is>
      </c>
      <c r="F107" s="47" t="inlineStr">
        <is>
          <t>Configurazione dei pannelli (P3): ali dispiegabili fisse con la faccia attiva verso lo zenit, nel piano che contiene la velocità (di taglio rispetto al flusso), più la faccia a zenit del corpo dove libera; in attesa e in spinta rollio fisso di ~31–52° (TBC, valore ottimo che varia con le stagioni) attorno alla velocità verso il lato del Sole; per le riprese il satellite torna a nadir con gli slew già previsti. Fattore k caso peggiore 0,58: ~0,44 m² di pannello con Sole medio, ~0,56 m² con Sole alto (4,2–5,5 pannelli da 226 × 454 mm, a 270 W/m² fine vita, stima)</t>
        </is>
      </c>
      <c r="G107" s="47" t="inlineStr">
        <is>
          <t>P2: ali fisse a zenit senza rollio (k 0,44, 0,57–0,73 m²); P4: ala con motore di rotazione SADA (k 0,85, 0,29–0,38 m², ma ~70% dell'area dell'ala esposta alla velocità in luce, drag e ΔV ~3 volte); solo pannelli sul corpo (non bastano)</t>
        </is>
      </c>
      <c r="H107" s="47" t="inlineStr">
        <is>
          <t>Il rollio attorno alla velocità non cambia né l'area frontale né la direzione di spinta: ~25% di pannello in meno rispetto a P2 senza costi di drag; stessa soluzione di EarthNext (roll bias durante la spinta)</t>
        </is>
      </c>
      <c r="I107" s="47" t="inlineStr">
        <is>
          <t>Dimensionamento pannelli e batteria (A5.6.6), layout e inerzie con le ali (A5.7, D-043), ADCS: coppia di gradiente di gravità costante ~1,8·10⁻⁶ N·m a 40° (~0,010 N·m·s per orbita, scaricata dai magnetorquer; riserva DR-22 0,037), radiatori del payload (D-095: con il rollio la faccia vede di più la Terra), safe (DR-29, DR-37)</t>
        </is>
      </c>
      <c r="J107" s="47" t="inlineStr">
        <is>
          <t>DR-61, DR-29, DR-37, DR-22</t>
        </is>
      </c>
      <c r="K107" s="47" t="inlineStr">
        <is>
          <t>R-07, R-43</t>
        </is>
      </c>
      <c r="L107" s="47" t="inlineStr">
        <is>
          <t>Approvata</t>
        </is>
      </c>
      <c r="M107" s="47" t="n"/>
      <c r="N107" s="47" t="inlineStr">
        <is>
          <t>Chat del 30/10/2026 (A5.6.5); PULSE_EPS/A5.6/pannelli_config.py</t>
        </is>
      </c>
      <c r="O107" s="47" t="inlineStr">
        <is>
          <t>Proposta: cambia l'ipotesi di vista della Terra dei radiatori di Giuseppe (31% nel suo calcolo, D-095): da rifare con il rollio di 31–52°. Sole sui radiatori: mai in assetto nominale; con rollio di 45° verso il lato opposto al Sole a 64–77° dalla normale, solo durante le riprese (≤ ~8 min per passaggio diurno); in safe ≥ 75°. Safe: ali a zenit verso il Sole, telescopio a ~180° dal Sole (oltre i 52° del paraluce anche con coperchio bloccato aperto). Beta 19–32° (ora del nodo GMAT) | 30/10/2026 Giuseppe: approvata con D-107. Verifica radiatori (a5_calcoli/p7_radiatori_rollio.py, con le funzioni di PULSE_EPS/A5.6): il rollio verso il Sole inclina la faccia dei radiatori (-Y) verso lo ZENIT, non verso la Terra: vista della Terra 0,02–0,10 invece di 0,31; Sole sul radiatore ~28–31 min per orbita a 70–78° dalla normale (picco ~1 W); calore medio assorbito 26–35 W/m² invece di 70. Aree di D-095 invariate. Safe ok anche con coperchio bloccato aperto</t>
        </is>
      </c>
    </row>
    <row r="108" s="26">
      <c r="A108" s="47" t="inlineStr">
        <is>
          <t>D-107</t>
        </is>
      </c>
      <c r="B108" s="48" t="n">
        <v>46325</v>
      </c>
      <c r="C108" s="47" t="inlineStr">
        <is>
          <t>A5</t>
        </is>
      </c>
      <c r="D108" s="47" t="inlineStr">
        <is>
          <t>Giuseppe</t>
        </is>
      </c>
      <c r="E108" s="47" t="inlineStr">
        <is>
          <t>Termico</t>
        </is>
      </c>
      <c r="F108" s="47" t="inlineStr">
        <is>
          <t>Riscaldatori di sopravvivenza per il sensore notturno e la scheda payload quando sono spenti: ~0,6 W sul sensore e ~0,4 W sulla scheda (~1 W in tutto, TBC), con termostato, per non scendere sotto −30 °C (TBC, da confermare con i limiti dei datasheet). P-23 diventa 4 / 4 / 3 / 3 / 2 W (ripresa diurna / notturna / spinta / scarico / riposo-safe)</t>
        </is>
      </c>
      <c r="G108" s="47" t="inlineStr">
        <is>
          <t>Nessun riscaldatore (da spenti ~−33 °C a nadir e ~−43 °C con il rollio di D-106: sotto il minimo tipico dell'elettronica); interruttore termico o radiatore con collegamento variabile (toglie il consumo, ma è un componente in più: da valutare in Fase B)</t>
        </is>
      </c>
      <c r="H108" s="47" t="inlineStr">
        <is>
          <t>I radiatori di D-095 restano collegati anche a sensore e scheda spenti e li raffreddano. Stima con perdita verso l'interno di 0,017 W/K (interno 20 °C): ~1 W basta per −30 °C nel caso freddo con il rollio. Nelle riprese sensore e scheda sono accesi e non serve</t>
        </is>
      </c>
      <c r="I108" s="47" t="inlineStr">
        <is>
          <t>Bilancio di potenza P-23 (Giuliano: +1 W in spinta, scarico e riposo/safe), termico del payload (D-095, D-100), modello termico di Fase B</t>
        </is>
      </c>
      <c r="J108" s="47" t="inlineStr">
        <is>
          <t>DR-55, DR-57</t>
        </is>
      </c>
      <c r="K108" s="47" t="inlineStr">
        <is>
          <t>R-55, R-51</t>
        </is>
      </c>
      <c r="L108" s="47" t="inlineStr">
        <is>
          <t>Approvata</t>
        </is>
      </c>
      <c r="M108" s="47" t="n"/>
      <c r="N108" s="47" t="inlineStr">
        <is>
          <t>Chat del 30/10/2026 (A5.P7 bis, risposta a D-106)</t>
        </is>
      </c>
      <c r="O108" s="47" t="inlineStr">
        <is>
          <t>Proposta: cambia P-23 nel bilancio di Giuliano. Calcolo in a5_calcoli/p7_radiatori_rollio.py. In Fase B si può sostituire con un interruttore termico | 30/10/2026 Giuliano: approvata. P-23 a 4/4/3/3/2 W: +1 W fisso fuori dalle riprese (~+29 Wh/giorno con i margini, ~4% del giorno di routine); effetto sulla spinta sostenibile con 6 pannelli (D-108) da verificare in A5.6.7 | 30/10/2026 Giuliano: approvata. Effetto sul bilancio (con margini): riposo da 18,9 a 20,3 W, giorno di routine da 775 a 809 Wh, Sole alto da 1016 a 1050 Wh; 6 pannelli reggono 4,9 h/giorno di spinta (prima 5,5) contro 4,2 necessarie; batteria 4S3P al 21% a fine vita, 31% con una stringa guasta</t>
        </is>
      </c>
    </row>
    <row r="109" s="26">
      <c r="A109" s="47" t="inlineStr">
        <is>
          <t>D-108</t>
        </is>
      </c>
      <c r="B109" s="48" t="n">
        <v>46325</v>
      </c>
      <c r="C109" s="47" t="inlineStr">
        <is>
          <t>A5</t>
        </is>
      </c>
      <c r="D109" s="47" t="inlineStr">
        <is>
          <t>Giuliano</t>
        </is>
      </c>
      <c r="E109" s="47" t="inlineStr">
        <is>
          <t>Potenza</t>
        </is>
      </c>
      <c r="F109" s="47" t="inlineStr">
        <is>
          <t>Pannelli dimensionati sul Sole medio (A, come D-020 e D-033): 6 ali da 226 × 454 mm con 9 celle a tripla giunzione ciascuna (classe Azur Space 3G30-Advanced), 21,6 W per pannello a Sole perpendicolare a fine vita (5·10¹⁴ e/cm², 70 °C, perdite 5%), 74,5 W medi in luce con la configurazione D-106 (k 0,575). Regge 5,5 h/giorno di spinta contro 4,2 h necessarie (+31%). Valore provvisorio, da rivedere con la data di lancio insieme a spinta e propellente</t>
        </is>
      </c>
      <c r="G109" s="47" t="inlineStr">
        <is>
          <t>B: 8 pannelli per il Sole alto (10 h/giorno di spinta, +2 pannelli da stivare); C: 7 pannelli (Sole alto senza margine, 7,7 contro 7,8 h)</t>
        </is>
      </c>
      <c r="H109" s="47" t="inlineStr">
        <is>
          <t>Con Sole alto il primo limite è il propellente (D-034, ~22 mesi): dimensionare solo la potenza sul Sole alto non salva la missione. Tutti i budget sullo stesso caso; con un lancio dal 2027 il ciclo solare scende</t>
        </is>
      </c>
      <c r="I109" s="47" t="inlineStr">
        <is>
          <t>Massa e stivaggio delle ali (A5.7: verificare anche il posto per 8 come riserva), batteria (D-109), bilancio orbita per orbita (A5.6.7), discesa iniziale (D-021: 5,5 h/giorno di spinta invece di ~12, discesa più lunga, da rifare in A6), operazioni con Sole alto</t>
        </is>
      </c>
      <c r="J109" s="47" t="inlineStr">
        <is>
          <t>DR-62</t>
        </is>
      </c>
      <c r="K109" s="47" t="inlineStr">
        <is>
          <t>R-56, R-07</t>
        </is>
      </c>
      <c r="L109" s="47" t="inlineStr">
        <is>
          <t>Provvisoria</t>
        </is>
      </c>
      <c r="M109" s="47" t="n"/>
      <c r="N109" s="47" t="inlineStr">
        <is>
          <t>Chat del 30/10/2026 (A5.6.6); PULSE_EPS/A5.6/dimensionamento_pannelli.py</t>
        </is>
      </c>
      <c r="O109" s="47" t="inlineStr">
        <is>
          <t>Datasheet Azur 3G30-Advanced (bdb_00010894-02-00): 3,08 W BOL (29,0%), 2,85 W a 5E14, dVmp/dT −7,1 mV/°C; CIC 13,1 g (118 g di celle per pannello). Impaccamento 0,68 (9 celle su 226 × 454 mm). 5E14 prudente per 2 anni a 302 km (fluenza vera in Fase B). Conti con P-23 di D-100 (2 W a riposo): D-107 di Giuseppe (+1 W, approvata) da includere in A5.6.7. Numerata D-108 perché D-107 era già usata da Giuseppe | 30/10/2026 (D-107 approvata, +1 W): spinta sostenibile con 6 pannelli 4,9 h/giorno (+17% su 4,2); Sole medio richiede 5,70 pannelli, Sole alto 7,28</t>
        </is>
      </c>
    </row>
    <row r="110" s="26">
      <c r="A110" s="47" t="inlineStr">
        <is>
          <t>D-109</t>
        </is>
      </c>
      <c r="B110" s="48" t="n">
        <v>46325</v>
      </c>
      <c r="C110" s="47" t="inlineStr">
        <is>
          <t>A5</t>
        </is>
      </c>
      <c r="D110" s="47" t="inlineStr">
        <is>
          <t>Giuliano</t>
        </is>
      </c>
      <c r="E110" s="47" t="inlineStr">
        <is>
          <t>Potenza</t>
        </is>
      </c>
      <c r="F110" s="47" t="inlineStr">
        <is>
          <t>Batteria (B): Li-ion 4S3P, 12 celle 18650 da 2,6 Ah (classe GomSpace NanoPower), 112 Wh nominali, bus non regolato 12–16,8 V come EarthNext. Profondità di scarica nel caso peggiore (ripresa notturna e contatto al buio, 18,0 Wh dalla batteria) 20% a fine vita (capacità all'80%), 30% con una stringa guasta. Autonomia in detumbling con ali chiuse ~5,3 h. La spinta si programma nella parte centrale della luce, dove le ali producono di più, così la batteria non scarica durante la spinta (verifica in A5.6.7)</t>
        </is>
      </c>
      <c r="G110" s="47" t="inlineStr">
        <is>
          <t>A: 4S2P (75 Wh, 30% a fine vita ma 60% con una stringa guasta, 3,5 h di autonomia); C: 4S4P (150 Wh, 15%/20%, 4 celle in più senza bisogno)</t>
        </is>
      </c>
      <c r="H110" s="47" t="inlineStr">
        <is>
          <t>Unica opzione che resta nella fascia di scarica usata in LEO (20–40%) anche con una stringa guasta (criterio di EarthNext); ~11.600 cicli in 2 anni, oltre i 10.000 provati dalla NASA a 20–40%</t>
        </is>
      </c>
      <c r="I110" s="47" t="inlineStr">
        <is>
          <t>Massa e volume della batteria (A5.7), termico di piattaforma (celle tiepide, ~10–25 °C indicativo TBC: temperatura interna proposta ~15–20 °C, compatibile con il telescopio, D-100), PCDU e bus (REGULUS a 12 V d'ingresso: compatibilità con 12–16,8 V da verificare con T4i), riscaldatori della batteria (P-24, TBD)</t>
        </is>
      </c>
      <c r="J110" s="47" t="inlineStr">
        <is>
          <t>DR-63</t>
        </is>
      </c>
      <c r="K110" s="47" t="inlineStr">
        <is>
          <t>R-07</t>
        </is>
      </c>
      <c r="L110" s="47" t="inlineStr">
        <is>
          <t>Approvata</t>
        </is>
      </c>
      <c r="M110" s="47" t="n"/>
      <c r="N110" s="47" t="inlineStr">
        <is>
          <t>Chat del 30/10/2026 (A5.6.6); PULSE_EPS/A5.6/dimensionamento_batteria.py</t>
        </is>
      </c>
      <c r="O110" s="47" t="inlineStr">
        <is>
          <t>Fonti: NASA, An Update on the Lithium-Ion Cell LEO Verification Test Program (20/30/40% DoD, &gt; 10.000 cicli); RF Essentials (LEO 20–40% DoD); AAU (GomSpace 18650 2,6 Ah). Rendimento batteria→carichi 0,90 e perdita di capacità 20% a fine vita: stime TBC. Termico di piattaforma ancora senza responsabile (D-038) | 30/10/2026 (D-107 approvata, +1 W): caso peggiore al buio 16,9 Wh ai carichi (18,8 dalla batteria): scarica 21% a fine vita, 31% con una stringa guasta (ancora nella fascia LEO 20–40%); autonomia in detumbling ~4,8 h | 30/10/2026 (A5.6.7): simulazione conferma 20,4% e 30,7%; DR-63 riscritto con D-111</t>
        </is>
      </c>
    </row>
    <row r="111" s="26">
      <c r="A111" s="47" t="inlineStr">
        <is>
          <t>D-110</t>
        </is>
      </c>
      <c r="B111" s="48" t="n">
        <v>46325</v>
      </c>
      <c r="C111" s="47" t="inlineStr">
        <is>
          <t>A5</t>
        </is>
      </c>
      <c r="D111" s="47" t="inlineStr">
        <is>
          <t>Giuseppe</t>
        </is>
      </c>
      <c r="E111" s="47" t="inlineStr">
        <is>
          <t>Termico</t>
        </is>
      </c>
      <c r="F111" s="47" t="inlineStr">
        <is>
          <t>Responsabile del termico di piattaforma (chiude D-038 per la voce termico): Giuseppe segue il termico di tutto il satellite con un modello unico (payload + piattaforma). Giuliano fornisce per i suoi componenti (batteria, motore REGULUS, ruote, computer di bordo, EPS, radio) potenze dissipate per modo, posizioni nel layout e limiti di temperatura. Temperatura interna di progetto ~15–20 °C (TBC, proposta di Giuliano, coerente con la regolazione del telescopio di D-100)</t>
        </is>
      </c>
      <c r="G111" s="47" t="inlineStr">
        <is>
          <t>B: Giuliano responsabile del termico di piattaforma e Giuseppe del solo payload, con interfaccia la temperatura interna (due modelli per un sistema unico; carico di lavoro di Giuliano già alto); C: rimandare alla Fase B (resta un responsabile mancante alla PRR)</t>
        </is>
      </c>
      <c r="H111" s="47" t="inlineStr">
        <is>
          <t>Il termico è un sistema unico: la parte più sensibile è il telescopio (fuoco entro ±11 K, DR-57) e il calore del motore e della batteria lo influenza (D-099). Giuseppe ha già metodo e script (radiatori, riscaldatori, a5_calcoli/p7_*.py) e la parte payload di A5 è chiusa</t>
        </is>
      </c>
      <c r="I111" s="47" t="inlineStr">
        <is>
          <t>Budget M-24 e P-24 (responsabile Giuseppe), riscaldatori della batteria (D-104, valore dal modello termico), layout A5.7 (posizioni e collegamenti termici), A6 (rischi termici), Fase B (modello termico completo)</t>
        </is>
      </c>
      <c r="J111" s="47" t="inlineStr">
        <is>
          <t>DR-57, DR-64</t>
        </is>
      </c>
      <c r="K111" s="47" t="inlineStr">
        <is>
          <t>R-24, R-55</t>
        </is>
      </c>
      <c r="L111" s="47" t="inlineStr">
        <is>
          <t>Approvata</t>
        </is>
      </c>
      <c r="M111" s="47" t="n"/>
      <c r="N111" s="47" t="inlineStr">
        <is>
          <t>Chat del 30/10/2026 (dopo A5.P8)</t>
        </is>
      </c>
      <c r="O111" s="47" t="inlineStr">
        <is>
          <t>Proposta: cambia le responsabilità di D-028/D-038 e riguarda i componenti di Giuliano. Restano aperti in D-038: struttura e meccanismi, computer di bordo, cablaggi | 30/10/2026 Giuliano: approvata. Dati di Giuliano per il modello termico (potenza dissipata per modo e limiti di temperatura) nel report A5.6 (A5.6.8); posizioni in A5.7</t>
        </is>
      </c>
    </row>
    <row r="112" s="26">
      <c r="A112" s="47" t="inlineStr">
        <is>
          <t>D-111</t>
        </is>
      </c>
      <c r="B112" s="48" t="n">
        <v>46325</v>
      </c>
      <c r="C112" s="47" t="inlineStr">
        <is>
          <t>A5</t>
        </is>
      </c>
      <c r="D112" s="47" t="inlineStr">
        <is>
          <t>Giuliano</t>
        </is>
      </c>
      <c r="E112" s="47" t="inlineStr">
        <is>
          <t>Potenza</t>
        </is>
      </c>
      <c r="F112" s="47" t="inlineStr">
        <is>
          <t>Valore di DR-63 riscritto (a): profondità di scarica della batteria ≤ 25% a fine vita e ≤ 35% con una stringa guasta. La simulazione dello stato di carica (A5.6.7, giorno peggiore, fine vita, carichi con margini) dà 20,4% e 30,7%; batteria 4S3P invariata (D-109)</t>
        </is>
      </c>
      <c r="G112" s="47" t="inlineStr">
        <is>
          <t>b: batteria 4S4P (21% con una stringa guasta, +4 celle per un caso di guasto); c: tenere 30% e spegnere carichi in caso di guasto (regola in più)</t>
        </is>
      </c>
      <c r="H112" s="47" t="inlineStr">
        <is>
          <t>Il 30% era un valore tondo scelto da noi (TBC), non un limite fisico; 35% resta nella fascia LEO 20–40% e nelle prove NASA (fino al 40%, oltre 10.000 cicli)</t>
        </is>
      </c>
      <c r="I112" s="47" t="inlineStr">
        <is>
          <t>DR-63, invecchiamento della batteria in caso di guasto (un po' più rapido), prova di cicli in Fase C</t>
        </is>
      </c>
      <c r="J112" s="47" t="inlineStr">
        <is>
          <t>DR-63</t>
        </is>
      </c>
      <c r="K112" s="47" t="inlineStr">
        <is>
          <t>R-07</t>
        </is>
      </c>
      <c r="L112" s="47" t="inlineStr">
        <is>
          <t>Approvata</t>
        </is>
      </c>
      <c r="M112" s="47" t="n"/>
      <c r="N112" s="47" t="inlineStr">
        <is>
          <t>Chat del 30/10/2026 (A5.6.7); PULSE_EPS/A5.6/simulazione_soc.py</t>
        </is>
      </c>
      <c r="O112" s="47" t="inlineStr">
        <is>
          <t>Simulazione: 3 giorni, passo 20 s, giorno 150 (fine maggio 2026, rollio 32°, k 0,573), 6 ali a fine vita, batteria all'80% (89,8 Wh; 59,9 Wh con 2 stringhe). Routine: SoC minimo 79,6%, avanzo 136 Wh/giorno; emergenza 79,6%; stringa guasta 69,3%; safe 84,0%. Numerata D-111 perché D-110 era già usata da Giuseppe</t>
        </is>
      </c>
    </row>
    <row r="113" s="26">
      <c r="A113" s="47" t="inlineStr">
        <is>
          <t>D-112</t>
        </is>
      </c>
      <c r="B113" s="48" t="n">
        <v>46325</v>
      </c>
      <c r="C113" s="47" t="inlineStr">
        <is>
          <t>A5</t>
        </is>
      </c>
      <c r="D113" s="47" t="inlineStr">
        <is>
          <t>Giuliano</t>
        </is>
      </c>
      <c r="E113" s="47" t="inlineStr">
        <is>
          <t>Potenza</t>
        </is>
      </c>
      <c r="F113" s="47" t="inlineStr">
        <is>
          <t>Regola di bordo per proteggere la batteria (A): il motore parte solo se lo stato di carica è ≥ 90% e si spegne se scende sotto l'80%; la spinta programmata che non parte si recupera nelle orbite successive. Gestione a più livelli (sotto il 70% stop alle riprese, sotto il 50% safe, valori TBD) come requisito per la Fase C (C)</t>
        </is>
      </c>
      <c r="G113" s="47" t="inlineStr">
        <is>
          <t>B: nessuna regola automatica, pianificazione solo da terra (un errore può svuotare la batteria); C subito: regola completa a più livelli (rimandata alla Fase C, FDIR)</t>
        </is>
      </c>
      <c r="H113" s="47" t="inlineStr">
        <is>
          <t>Con Sole alto e 7,8 h di spinta programmate la batteria si svuota in meno di un giorno (deficit ~109 Wh/giorno); con la regola la spinta si riduce da sola a ~5,6 h/giorno, SoC minimo 73%. In routine la regola non toglie spinta (4,2 h, SoC minimo 79,6%: le scariche sono al buio, la spinta a metà luce a batteria quasi piena)</t>
        </is>
      </c>
      <c r="I113" s="47" t="inlineStr">
        <is>
          <t>Software di bordo (gestione motore e batteria), FDIR (Fase C), operazioni con Sole alto (R-56: quota mantenuta solo in parte), piano di spinta</t>
        </is>
      </c>
      <c r="J113" s="47" t="inlineStr">
        <is>
          <t>DR-65, DR-66</t>
        </is>
      </c>
      <c r="K113" s="47" t="inlineStr">
        <is>
          <t>R-56, R-07</t>
        </is>
      </c>
      <c r="L113" s="47" t="inlineStr">
        <is>
          <t>Approvata</t>
        </is>
      </c>
      <c r="M113" s="47" t="n"/>
      <c r="N113" s="47" t="inlineStr">
        <is>
          <t>Chat del 30/10/2026 (A5.6.7); PULSE_EPS/A5.6/simulazione_soc.py</t>
        </is>
      </c>
      <c r="O113" s="47" t="inlineStr">
        <is>
          <t>Valori 90/80% sopra il minimo della routine (79,6% al buio, quando il motore è comunque spento per D-105)</t>
        </is>
      </c>
    </row>
    <row r="114" s="26">
      <c r="A114" s="47" t="inlineStr">
        <is>
          <t>D-113</t>
        </is>
      </c>
      <c r="B114" s="48" t="n">
        <v>46325</v>
      </c>
      <c r="C114" s="47" t="inlineStr">
        <is>
          <t>A5</t>
        </is>
      </c>
      <c r="D114" s="47" t="inlineStr">
        <is>
          <t>Giuliano</t>
        </is>
      </c>
      <c r="E114" s="47" t="inlineStr">
        <is>
          <t>Gestione</t>
        </is>
      </c>
      <c r="F114" s="47" t="inlineStr">
        <is>
          <t>Responsabili delle voci di piattaforma rimaste aperte in D-038 (R1): struttura e meccanismi (telaio, apertura delle ali, sganci), computer di bordo di piattaforma e cablaggi a Giuliano. L'interfaccia tra computer di bordo e scheda payload (comandi, coda dati D-092) resta in comune con Giuseppe. Con D-087 (EPS) e D-110 (termico) chiude D-038</t>
        </is>
      </c>
      <c r="G114" s="47" t="inlineStr">
        <is>
          <t>R2: computer di bordo a Giuseppe e cablaggi in comune (Giuseppe segue già il termico di tutto il satellite, D-110); R3: computer di bordo diviso, hardware a Giuliano e software/dati a Giuseppe (una voce con due responsabili)</t>
        </is>
      </c>
      <c r="H114" s="47" t="inlineStr">
        <is>
          <t>In Fase A struttura, meccanismi e cablaggi sono scelte geometriche che stanno dentro il layout (A5.7, Giuliano); i cablaggi sono una quota del 5% della massa (D-035); il computer di bordo fa girare ADCS, FDIR e gestione della spinta e ha già un valore provvisorio scelto da Giuliano (D-104)</t>
        </is>
      </c>
      <c r="I114" s="47" t="inlineStr">
        <is>
          <t>D-028, D-038; file dei budget (responsabile di M-17, M-21, M-22, M-25, P-17, P-21, P-22, V-06); A5.7.2 (lista componenti); Fase B (interfaccia computer di bordo – scheda payload)</t>
        </is>
      </c>
      <c r="J114" s="47" t="inlineStr">
        <is>
          <t>DR-14</t>
        </is>
      </c>
      <c r="K114" s="47" t="n"/>
      <c r="L114" s="47" t="inlineStr">
        <is>
          <t>Proposta</t>
        </is>
      </c>
      <c r="M114" s="47" t="n"/>
      <c r="N114" s="47" t="inlineStr">
        <is>
          <t>Chat del 30/10/2026 (A5.7.1)</t>
        </is>
      </c>
      <c r="O114" s="47" t="inlineStr">
        <is>
          <t>Proposta: cambia la divisione del lavoro in comune (D-028/D-038), da approvare da Giuseppe. Nel file dei budget i responsabili restano TBC fino all'approvazione</t>
        </is>
      </c>
    </row>
    <row r="115" s="26">
      <c r="A115" s="47" t="inlineStr">
        <is>
          <t>D-114</t>
        </is>
      </c>
      <c r="B115" s="48" t="n">
        <v>46325</v>
      </c>
      <c r="C115" s="47" t="inlineStr">
        <is>
          <t>A5</t>
        </is>
      </c>
      <c r="D115" s="47" t="inlineStr">
        <is>
          <t>Giuliano</t>
        </is>
      </c>
      <c r="E115" s="47" t="inlineStr">
        <is>
          <t>Struttura</t>
        </is>
      </c>
      <c r="F115" s="47" t="inlineStr">
        <is>
          <t>Sistema di riferimento del satellite (S2) per layout, baricentro e inerzie: origine nel centro geometrico dell'involucro tra i binari (226,3 × 226,3 × 454 mm); +X verso la velocità (direzione di spinta, ugello della REGULUS sulla faccia −X); +Y normale all'orbita verso il lato del Sole (β &gt; 0; faccia −Y dei radiatori, D-095); +Z verso lo zenit lungo l'asse lungo (il telescopio guarda verso −Z). In assetto nominale coincide con il riferimento orbitale di A5.6. Conversione dai dati del payload: Z = Z dalla faccia a nadir − 227 mm, X e Y invariati</t>
        </is>
      </c>
      <c r="G115" s="47" t="inlineStr">
        <is>
          <t>S1: origine al centro della faccia a nadir, come il CSV del payload (ogni verifica di DR-14 da convertire); S3: centro geometrico con +Z nadir e +Y dal lato opposto al Sole, come A5.3 (inverte i segni di Y e Z rispetto ad A5.6 e al payload)</t>
        </is>
      </c>
      <c r="H115" s="47" t="inlineStr">
        <is>
          <t>DR-14 (limiti del deployer rispetto al centro geometrico) e D-047 si verificano direttamente; inerzie già attorno al centro; assi uguali a quelli di A5.6 e del payload di Giuseppe, quindi nessun cambio di segno</t>
        </is>
      </c>
      <c r="I115" s="47" t="inlineStr">
        <is>
          <t>A5.7.4–A5.7.8 (layout, baricentro, inerzie); dati del payload (PULSE_payload_masse_posizioni.csv: baricentro del payload a Z +49,5 mm, Y −28,9 mm); simulazione a 3 assi della Fase B (A5.3 usava Z a nadir, modello a un asse: nessun numero da rifare)</t>
        </is>
      </c>
      <c r="J115" s="47" t="inlineStr">
        <is>
          <t>DR-14, DR-21</t>
        </is>
      </c>
      <c r="K115" s="47" t="inlineStr">
        <is>
          <t>R-26</t>
        </is>
      </c>
      <c r="L115" s="47" t="inlineStr">
        <is>
          <t>Proposta</t>
        </is>
      </c>
      <c r="M115" s="47" t="n"/>
      <c r="N115" s="47" t="inlineStr">
        <is>
          <t>Chat del 30/10/2026 (A5.7.1)</t>
        </is>
      </c>
      <c r="O115" s="47" t="inlineStr">
        <is>
          <t>Proposta: cambia l'origine (non i valori) dei dati di Giuseppe. Le facce si chiamano ±X, ±Y, ±Z. Il collegamento con il riferimento del deployer si fa in Fase B con la scelta del lancio (LR-01)</t>
        </is>
      </c>
    </row>
    <row r="116" s="26">
      <c r="A116" s="47" t="inlineStr">
        <is>
          <t>D-115</t>
        </is>
      </c>
      <c r="B116" s="48" t="n">
        <v>46325</v>
      </c>
      <c r="C116" s="47" t="inlineStr">
        <is>
          <t>A5</t>
        </is>
      </c>
      <c r="D116" s="47" t="inlineStr">
        <is>
          <t>Giuseppe</t>
        </is>
      </c>
      <c r="E116" s="47" t="inlineStr">
        <is>
          <t>Termico</t>
        </is>
      </c>
      <c r="F116" s="47" t="inlineStr">
        <is>
          <t>Casi di progetto del termico del satellite (A5.8.1). Caldo: gennaio, Sole 1414 W/m², albedo 0,35, IR Terra 261 W/m², eclisse 34,7 min, vernici a fine vita (α 0,35), 22 min di spinta in ogni orbita (verifica a 29 min), riprese e scarichi, rollio 31–52°. Freddo operativo: giugno-luglio, Sole 1322 W/m², albedo 0,18, IR 218 W/m², eclisse 36,0 min, vernici nuove (α 0,20), giorno senza spinta (attesa). Freddo safe: safe per più giorni, ali verso il Sole. Detumbling con ali chiuse ≤ ~4,8 h (caso particolare). Calore del REGULUS che entra nel satellite: 15 W in spinta (8–20 W, TBC), con verifica a 48,5 W</t>
        </is>
      </c>
      <c r="G116" s="47" t="inlineStr">
        <is>
          <t>Calore del motore: 48,5 W tutti dentro il satellite (radiatore quasi doppio, più riscaldatori al freddo); 20 W (limite alto della stima). Caso caldo: spinta in ogni periodo di luce o 7,8 h di fila (superati dal profilo di A5.6.7, spinta distribuita su tutte le orbite)</t>
        </is>
      </c>
      <c r="H116" s="47" t="inlineStr">
        <is>
          <t>Il REGULUS produce ~48,5 W di calore (rendimento di spinta 3%), ma la parte calda (~355 °C) lo smaltisce nello spazio con un radiatore sulla faccia dell'ugello a ~275 °C (Bellomo et al., CEAS Space J. 2022): 29–40 W stimati; al satellite passa la parte fredda (elettronica, linea dello iodio). Profilo di spinta e casi freddi da Giuliano (A5.6.7, chat del 30/10/2026). Albedo e IR: valori tipici per orbite molto inclinate (Gilmore), TBC</t>
        </is>
      </c>
      <c r="I116" s="47" t="inlineStr">
        <is>
          <t>Dimensionamento del radiatore di piattaforma e dei riscaldatori (A5.8.3–A5.8.4), budget P-24 e M-24, verifica in A5.7.1 di Giuliano (W dall'attacco del REGULUS, ugello su −X, preriscaldamento e raffreddamento)</t>
        </is>
      </c>
      <c r="J116" s="47" t="inlineStr">
        <is>
          <t>DR-64, DR-57</t>
        </is>
      </c>
      <c r="K116" s="47" t="inlineStr">
        <is>
          <t>R-57</t>
        </is>
      </c>
      <c r="L116" s="47" t="inlineStr">
        <is>
          <t>Approvata</t>
        </is>
      </c>
      <c r="M116" s="47" t="n"/>
      <c r="N116" s="47" t="inlineStr">
        <is>
          <t>Chat del 30/10/2026 (A5.8.1); a5_8_termico/a5_8_1_ingressi.py</t>
        </is>
      </c>
      <c r="O116" s="47" t="inlineStr">
        <is>
          <t>Valore del motore concordato con Giuliano (resta TBC fino ad A5.7.1). Calore all'interno per modo con motore 15 W: attesa 21,4; ripresa diurna 26,4; notturna 21,4; spinta 39,4; scarico 35,1; safe 24,4; detumbling 19,4 W (con perdite EPS e batteria di A5.6.7)</t>
        </is>
      </c>
    </row>
    <row r="117" s="26">
      <c r="A117" s="47" t="inlineStr">
        <is>
          <t>D-116</t>
        </is>
      </c>
      <c r="B117" s="48" t="n">
        <v>46325</v>
      </c>
      <c r="C117" s="47" t="inlineStr">
        <is>
          <t>A5</t>
        </is>
      </c>
      <c r="D117" s="47" t="inlineStr">
        <is>
          <t>Giuseppe</t>
        </is>
      </c>
      <c r="E117" s="47" t="inlineStr">
        <is>
          <t>Termico</t>
        </is>
      </c>
      <c r="F117" s="47" t="inlineStr">
        <is>
          <t>Architettura termica della piattaforma (A2): corpo coperto da coperte isolanti (MLI), radiatore fisso con vernice bianca sulla faccia −Y (~810 cm², ~970 con +20% di calore, TBC, accanto ai radiatori del payload di D-095), riscaldatori con termostato (batteria e interno). Interno ammesso 15–25 °C (DR-64 allargato da 15–20). Radiatore a persiane (louver) come riserva se l'energia dei riscaldatori non chiude il bilancio (A5.8.4)</t>
        </is>
      </c>
      <c r="G117" s="47" t="inlineStr">
        <is>
          <t>A: stessa architettura con interno 15–20 °C (radiatore ~890/1070 cm², non entra sulla sola −Y con il margine; riscaldatori ~7 W in un giorno di routine d'estate, ~180 Wh/giorno, oltre l'avanzo di 136 Wh/giorno di D-111). B: radiatore a persiane (~1080 cm², riscaldatori ~0 W, +0,3 kg, poche prove su CubeSat). C: pareti che irradiano senza MLI (escursione interna ~32 K, non rispetta DR-64)</t>
        </is>
      </c>
      <c r="H117" s="47" t="inlineStr">
        <is>
          <t>Soluzione più collaudata; +5 K in alto costano poco (batteria in carica fino a +45 °C; telescopio regolato a ~20 °C ± 11 K, DR-57) e riducono area e riscaldatori (stima di primo ordine a un nodo: routine d'estate ~5 W, ~120 Wh/giorno; giorno senza spinta ~11 W; safe ~9 W). La −Y è l'unica faccia buona: +Y vede il Sole, +Z ha celle e star tracker, +X ha l'ossigeno atomico, −X il radiatore caldo dell'ugello</t>
        </is>
      </c>
      <c r="I117" s="47" t="inlineStr">
        <is>
          <t>Bilancio di potenza (P-24, Giuliano: energia dei riscaldatori contro l'avanzo di D-111), layout A5.7 (area libera sulla −Y ~837 cm²; eventuale parte su −X), batteria (D-109: 15–25 °C), telescopio (D-100), budget M-24</t>
        </is>
      </c>
      <c r="J117" s="47" t="inlineStr">
        <is>
          <t>DR-64, DR-57</t>
        </is>
      </c>
      <c r="K117" s="47" t="inlineStr">
        <is>
          <t>R-58, R-57</t>
        </is>
      </c>
      <c r="L117" s="47" t="inlineStr">
        <is>
          <t>Proposta</t>
        </is>
      </c>
      <c r="M117" s="47" t="n"/>
      <c r="N117" s="47" t="inlineStr">
        <is>
          <t>Chat del 30/10/2026 (A5.8.2); a5_8_termico/a5_8_2_architettura.py</t>
        </is>
      </c>
      <c r="O117" s="47" t="inlineStr">
        <is>
          <t>Proposta: cambia DR-64 (valore proposto da Giuliano) e porta P-24 nel suo bilancio di potenza. Numeri da affinare con il modello a nodi (A5.8.3): nel caso freddo vernici nuove anche a fine vita (prudente)</t>
        </is>
      </c>
    </row>
  </sheetData>
  <autoFilter ref="A1:O200"/>
  <conditionalFormatting sqref="A2:O200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200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200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8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blackout. Un blackout è segnalato come "confermato" solo se il calo di luce rispetto al riferimento supera la soglia su un'area minima e il cielo sereno è confermato da due controlli indipendenti; negli altri casi la zona è "non confermabile" o "calo parziale".</t>
        </is>
      </c>
      <c r="D8" s="47" t="inlineStr">
        <is>
          <t>Calo ≥ 70%; area ≥ ~300 × 300 m (riferimento PULSE) o ~1 × 1 km (solo VIIRS)</t>
        </is>
      </c>
      <c r="E8" s="47" t="inlineStr">
        <is>
          <t>Analisi + test AI</t>
        </is>
      </c>
      <c r="F8" s="47" t="inlineStr">
        <is>
          <t>TBC</t>
        </is>
      </c>
      <c r="G8" s="47" t="inlineStr">
        <is>
          <t>D-013, D-060…D-065 (A4)</t>
        </is>
      </c>
      <c r="H8" s="47" t="inlineStr">
        <is>
          <t>Giuseppe</t>
        </is>
      </c>
      <c r="I8" s="47" t="inlineStr">
        <is>
          <t>A4: metodo definito; soglie da tarare in Fase B su blackout reali. Parte incendi legata a MR-04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jitter ≤ 0,15 pixel PAN (0,74 µrad) di ampiezza; mosso in una riga &lt; 0,1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(A2), D-053 (A5)</t>
        </is>
      </c>
      <c r="H18" s="47" t="inlineStr">
        <is>
          <t>Giuliano</t>
        </is>
      </c>
      <c r="I18" s="47" t="inlineStr">
        <is>
          <t>A5.3 g): valore numerico fissato (D-053, Proposta). MTF dovuta al jitter ×0,945 a Nyquist. Verifica con dati di microvibrazione delle ruote in Fase B. A5.4.5: stima a corpo rigido 0,03–0,25 µrad (ruote ben bilanciate, 4 ruote); requisito di bilanciamento in DR-30 (D-059)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 | 30/10/2026 (D-088): verificato con il telescopio RC: a ±37 µm l'errore d'onda medio sale da 18 a ~35 nm (sotto λ/14 = 39 nm); a ±50 µm 44 nm. Valore invariato. | 30/10/2026 (D-098): con le aste in Invar il fuoco varia di ~1,7 µm/K e non risente dell'umidità.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Durante la ripresa diurna la deriva d'assetto deve restare entro la soglia, e lo sfasamento tra le bande RGB-NIR e tra i passaggi TDI deve essere corretto a bordo con il modello geometrico (orbita, assetto misurato, DEM).</t>
        </is>
      </c>
      <c r="D21" s="47" t="inlineStr">
        <is>
          <t>≤ 0,001°/s; riallineamento geometrico a bordo (DR-26), residuo ≤ 1/3 pixel colore</t>
        </is>
      </c>
      <c r="E21" s="47" t="inlineStr">
        <is>
          <t>Analisi + simulazione GNC</t>
        </is>
      </c>
      <c r="F21" s="47" t="inlineStr">
        <is>
          <t>TBC</t>
        </is>
      </c>
      <c r="G21" s="47" t="inlineStr">
        <is>
          <t>D-025 (A2), D-040, D-056 (A5)</t>
        </is>
      </c>
      <c r="H21" s="47" t="inlineStr">
        <is>
          <t>Giuliano</t>
        </is>
      </c>
      <c r="I21" s="47" t="inlineStr">
        <is>
          <t>A5.3 a): scelta C (D-040, Proposta). Prima: ≤ 0,0002°/s senza correzione oppure ~0,001°/s con riallineamento a terra (scartato: contraddice D-007/MR-10). Ritardo tra le bande ~0,79 s (stima). A5.3 c): la rotazione terrestre fa scorrere il terreno di traverso di 2,4–2,9° (~250–290 m in 0,79 s): spostamento noto, da compensare (yaw steering o correzione a bordo) in A5.3 g). A5.3 f): in anello chiuso con giroscopio GY2 deriva vera 0,0004–0,0006°/s (rispettato); con MEMS tattico 0,004–0,008°/s (non rispettato). A5.4: la traslazione unica non basta con il rilievo (dislivello ammesso ~50 m sulle bande): metodo sostituito da D-056 (Proposta)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La manovra verso il bersaglio deve concludersi prima della finestra di ripresa, e dentro la finestra assestamento e ripresa devono stare nel tempo stabilito.</t>
        </is>
      </c>
      <c r="D24" s="47" t="inlineStr">
        <is>
          <t>manovra: slew 45° ≤ 60 s (giorno), aggancio notturno ≤ 120 s; in finestra assestamento + ripresa ≤ 10 s (finestra 47,7 s a 30°, 84 s a 45°)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A1, D-057 (A5)</t>
        </is>
      </c>
      <c r="H24" s="47" t="inlineStr">
        <is>
          <t>Giuliano</t>
        </is>
      </c>
      <c r="I24" s="47" t="inlineStr">
        <is>
          <t>A5.4.3: simulazione 1-asse con GY2: assestamento giorno 1,1–2,6 s (7,1 s prima del commissioning), notte ~0 s. Prima: "≤ 50 s a 30°, ≤ 90 s a 45°". Distanza minima tra bersagli notturni dello stesso satellite ~370–660 km (dato per A6) | 30/10/2026 (D-101): con il rallentamento assestamento + ripresa ≤ 6,9 s (rampa nello slew, 6,2 s prima del commissioning); tra bersagli senza slew servono ≥ ~51 s (~380 km) a nadir</t>
        </is>
      </c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14,4 m (binning 3×3).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(A3), D-077 (A5)</t>
        </is>
      </c>
      <c r="H25" s="47" t="inlineStr">
        <is>
          <t>Giuseppe</t>
        </is>
      </c>
      <c r="I25" s="47" t="inlineStr">
        <is>
          <t>Modello senza luce diffusa e parassita: riserva 3×3 | 30/10/2026 (D-077): con il TMA in asse (D-076) quartiere 12 scatti (SNR 10,4), paese 3×3 10 scatti (SNR 11,3). | 30/10/2026 (D-089): con il telescopio RC (ombra 20%) quartiere 14 scatti (SNR 10,3), paese 3×3 10 scatti (SNR 10,2).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Approvato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3×3. A5.3 g): verificato in Fase A con la simulazione 1-asse (F2, banda 1 rad/s, giroscopio GY2); la simulazione 3-assi in Fase B lo riconferma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Approvato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assestamento. A5.3 c): con il profilo F2 (D-044) l'inseguimento dura tutta la finestra (47,7 s a 30°), ben oltre 0,36 s. A5.3 g): verificato in Fase A con la simulazione 1-asse (F2, banda 1 rad/s, giroscopio GY2); la simulazione 3-assi in Fase B lo riconferma | 30/10/2026 (D-077): raccolta 240 ms città, 200 ms paesi (+20% = 0,29 s): il valore ≥ 0,36 s resta valido con più margine. | 30/10/2026 (D-089): raccolta 280 ms città, 200 ms paesi (+20% = 0,34 s): il valore ≥ 0,36 s resta valido.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 | 30/10/2026 (D-096, Proposta): con il rallentamento ×2 bastano ~10 immagini/s; ≥ ~20 resta come capacità per il ripiego senza rallentamento.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in tempo reale i passaggi diurni (TDI digitale) e gli scatti notturni mentre il sensore riprende; l'AI elabora dopo la somma, tra un bersaglio e l'altro</t>
        </is>
      </c>
      <c r="D29" s="47" t="inlineStr">
        <is>
          <t>Ingresso ~7,5 Gbit/s di giorno (628 Mpx/s), ~2,5 Gbit/s di notte (210 Mpx/s); uscita dopo la somma ~0,76 Gbit/s (pan + colori); memoria veloce per ≥ 4 scene sommate (~0,5 GB)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(A3), D-081 (A5.P3)</t>
        </is>
      </c>
      <c r="H29" s="47" t="inlineStr">
        <is>
          <t>Giuseppe</t>
        </is>
      </c>
      <c r="I29" s="47" t="inlineStr">
        <is>
          <t>Potenza e massa della scheda in A5. A5.4 (Giuliano, D-056 Proposta): il riallineamento diventa geometrico (orbita, assetto, DEM), non una traslazione: carico da valutare da Giuseppe 26/10/2026 (revisione A5): il caso più pesante è il diurno (~630 Mpixel/s letti dal sensore, ~7,5 Gbit/s a 12 bit); i ~470 Mbit/s di A3 vanno ricontrollati; valutare "entro il tempo tra due bersagli" invece di "in tempo reale" (A5 payload) | 30/10/2026 riscritto con D-081 (A5.P3): i ~470 Mbit/s di A3 erano il flusso dopo la somma del solo pancromatico; con i colori ~0,76 Gbit/s | 30/10/2026 (D-096, Proposta): con il rallentamento ×2 l'ingresso di giorno scende a ~3,7 Gbit/s.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bilanciare. A5.3 d): per l'ADCS vale il requisito più stretto DR-21 (D-047) | 30/10/2026 (D-114, Proposta): sistema di riferimento del satellite con origine nel centro geometrico, il limite si legge direttamente sulle coordinate</t>
        </is>
      </c>
    </row>
    <row r="31" ht="15" customHeight="1" s="26">
      <c r="A31" s="47" t="inlineStr">
        <is>
          <t>DR-15</t>
        </is>
      </c>
      <c r="B31" s="47" t="inlineStr">
        <is>
          <t>Derivato</t>
        </is>
      </c>
      <c r="C31" s="47" t="inlineStr">
        <is>
          <t>Durante le riprese l'errore di puntamento assoluto deve far cadere il bersaglio nella strisciata.</t>
        </is>
      </c>
      <c r="D31" s="47" t="inlineStr">
        <is>
          <t>APE ≤ 0,1°</t>
        </is>
      </c>
      <c r="E31" s="47" t="inlineStr">
        <is>
          <t>Analisi + simulazione GNC</t>
        </is>
      </c>
      <c r="F31" s="47" t="inlineStr">
        <is>
          <t>TBC</t>
        </is>
      </c>
      <c r="G31" s="47" t="inlineStr">
        <is>
          <t>D-041 (A5)</t>
        </is>
      </c>
      <c r="H31" s="47" t="inlineStr">
        <is>
          <t>Giuliano</t>
        </is>
      </c>
      <c r="I31" s="47" t="inlineStr">
        <is>
          <t>0,53 km a nadir, 1,14 km di traverso a 45° (11% della semi-strisciata). Eredità EarthNext. A5.3 g): bilancio caso peggiore 0,053° (controllo 0,021°, disturbo 0,010°, allineamento 0,020° allocato, star tracker 0,0014°). A5.4: 0,1° vale per le riprese; per gli altri modi vedi DR-27, DR-28, DR-29</t>
        </is>
      </c>
    </row>
    <row r="32" ht="15" customHeight="1" s="26">
      <c r="A32" s="47" t="inlineStr">
        <is>
          <t>DR-16</t>
        </is>
      </c>
      <c r="B32" s="47" t="inlineStr">
        <is>
          <t>Derivato</t>
        </is>
      </c>
      <c r="C32" s="47" t="inlineStr">
        <is>
          <t>Durante le riprese l'errore di conoscenza d'assetto deve permettere l'ortorettifica e l'allineamento con i vettori OSM.</t>
        </is>
      </c>
      <c r="D32" s="47" t="inlineStr">
        <is>
          <t>AKE ≤ 0,01°</t>
        </is>
      </c>
      <c r="E32" s="47" t="inlineStr">
        <is>
          <t>Analisi + simulazione GNC</t>
        </is>
      </c>
      <c r="F32" s="47" t="inlineStr">
        <is>
          <t>TBC</t>
        </is>
      </c>
      <c r="G32" s="47" t="inlineStr">
        <is>
          <t>D-042 (A5)</t>
        </is>
      </c>
      <c r="H32" s="47" t="inlineStr">
        <is>
          <t>Entrambi</t>
        </is>
      </c>
      <c r="I32" s="47" t="inlineStr">
        <is>
          <t>53 m a nadir (~35 pixel PAN), 114 m a 45°. Tolleranza dell'allineamento OSM da Giuseppe. A5.3 f): star tracker 5″ di traverso (0,0014°), margine per gli allineamenti (D-051). A5.3 g): bilancio 0,0096° con allocazione ≤ 0,008° all'allineamento telescopio–star tracker (calibrazione in volo su punti a terra, Fase B) 26/10/2026: tolleranza OSM confermata da Giuseppe (D-042 approvata)</t>
        </is>
      </c>
    </row>
    <row r="33" ht="15" customHeight="1" s="26">
      <c r="A33" s="47" t="inlineStr">
        <is>
          <t>DR-17</t>
        </is>
      </c>
      <c r="B33" s="47" t="inlineStr">
        <is>
          <t>Derivato</t>
        </is>
      </c>
      <c r="C33" s="47" t="inlineStr">
        <is>
          <t>Le immagini e i dati d'assetto e orbita devono avere tempi sincronizzati.</t>
        </is>
      </c>
      <c r="D33" s="47" t="inlineStr">
        <is>
          <t>≤ 0,1 ms</t>
        </is>
      </c>
      <c r="E33" s="47" t="inlineStr">
        <is>
          <t>Analisi, poi test</t>
        </is>
      </c>
      <c r="F33" s="47" t="inlineStr">
        <is>
          <t>TBC</t>
        </is>
      </c>
      <c r="G33" s="47" t="inlineStr">
        <is>
          <t>D-041, D-040 (A5)</t>
        </is>
      </c>
      <c r="H33" s="47" t="inlineStr">
        <is>
          <t>Giuliano</t>
        </is>
      </c>
      <c r="I33" s="47" t="inlineStr">
        <is>
          <t>1 ms = 7,4 m lungo traccia (5 pixel PAN) e 24 µrad in FMC (1,5 pixel notturni). PPS del GNSS. A5.3 f): ricevitore di classe SkyFox piNAV-NG (10 m, 24 g, 0,125 W): uscita PPS da verificare sul datasheet completo</t>
        </is>
      </c>
    </row>
    <row r="34" ht="15" customHeight="1" s="26">
      <c r="A34" s="47" t="inlineStr">
        <is>
          <t>DR-18</t>
        </is>
      </c>
      <c r="B34" s="47" t="inlineStr">
        <is>
          <t>Derivato</t>
        </is>
      </c>
      <c r="C34" s="47" t="inlineStr">
        <is>
          <t>Il giroscopio deve misurare la deriva d'assetto con precisione sufficiente alla correzione a bordo delle bande, del TDI e dello shift-and-add.</t>
        </is>
      </c>
      <c r="D34" s="47" t="inlineStr">
        <is>
          <t>ARW ≤ 0,01°/√h (errore angolare ≤ 2,8 µrad in 0,79 s)</t>
        </is>
      </c>
      <c r="E34" s="47" t="inlineStr">
        <is>
          <t>Analisi, poi datasheet / test</t>
        </is>
      </c>
      <c r="F34" s="47" t="inlineStr">
        <is>
          <t>TBC</t>
        </is>
      </c>
      <c r="G34" s="47" t="inlineStr">
        <is>
          <t>D-040, D-050 (A5)</t>
        </is>
      </c>
      <c r="H34" s="47" t="inlineStr">
        <is>
          <t>Giuliano</t>
        </is>
      </c>
      <c r="I34" s="47" t="inlineStr">
        <is>
          <t>A5.3 f): riformulato in ARW. Prima: errore di velocità ≤ ~0,0002°/s su ~1 s. GY2 (CRH03) 0,47 m; GY3 (KVH 1750) 0,94 m; GY1 (STIM300) 11,7 m | 30/10/2026 (D-101): con il rallentamento l'intervallo tra le bande è 1,58 s: ARW ammesso 0,0077°/√h (CRH03 0,006 ok, valore prudente 0,01 no) e fattore di scala ≤ ~80 ppm (DR-58)</t>
        </is>
      </c>
    </row>
    <row r="35" ht="15" customHeight="1" s="26">
      <c r="A35" s="47" t="inlineStr">
        <is>
          <t>DR-19</t>
        </is>
      </c>
      <c r="B35" s="47" t="inlineStr">
        <is>
          <t>Derivato</t>
        </is>
      </c>
      <c r="C35" s="47" t="inlineStr">
        <is>
          <t>Il satellite deve ruotare di 45° (slew) per puntare un nuovo bersaglio entro il tempo stabilito, assestamento escluso.</t>
        </is>
      </c>
      <c r="D35" s="47" t="inlineStr">
        <is>
          <t>45° in ≤ 60 s</t>
        </is>
      </c>
      <c r="E35" s="47" t="inlineStr">
        <is>
          <t>Analisi + simulazione GNC</t>
        </is>
      </c>
      <c r="F35" s="47" t="inlineStr">
        <is>
          <t>TBC</t>
        </is>
      </c>
      <c r="G35" s="47" t="inlineStr">
        <is>
          <t>D-045 (A5)</t>
        </is>
      </c>
      <c r="H35" s="47" t="inlineStr">
        <is>
          <t>Giuliano</t>
        </is>
      </c>
      <c r="I35" s="47" t="inlineStr">
        <is>
          <t>Coppia ≤ 1,0·10⁻³ N·m, picco 1,5°/s, momento ≤ 0,030 N·m·s con I = 1,14 kg·m²</t>
        </is>
      </c>
    </row>
    <row r="36" ht="15" customHeight="1" s="26">
      <c r="A36" s="47" t="inlineStr">
        <is>
          <t>DR-20</t>
        </is>
      </c>
      <c r="B36" s="47" t="inlineStr">
        <is>
          <t>Derivato</t>
        </is>
      </c>
      <c r="C36" s="47" t="inlineStr">
        <is>
          <t>Il controllo d'assetto deve inseguire la linea di vista nonostante l'incertezza d'inerzia, con anticipo di coppia basato sull'inerzia stimata in volo.</t>
        </is>
      </c>
      <c r="D36" s="47" t="inlineStr">
        <is>
          <t>banda ~1 rad/s; aggiornamento ≥ 10 Hz; inerzia stimata entro ~10%</t>
        </is>
      </c>
      <c r="E36" s="47" t="inlineStr">
        <is>
          <t>Simulazione GNC (1-asse in A, 3-assi in B), test in commissioning</t>
        </is>
      </c>
      <c r="F36" s="47" t="inlineStr">
        <is>
          <t>TBC</t>
        </is>
      </c>
      <c r="G36" s="47" t="inlineStr">
        <is>
          <t>D-046 (A5)</t>
        </is>
      </c>
      <c r="H36" s="47" t="inlineStr">
        <is>
          <t>Giuliano</t>
        </is>
      </c>
      <c r="I36" s="47" t="inlineStr">
        <is>
          <t>Errore d'inerzia del 7% verificato con banda 0,3 rad/s; banda da ricontrollare in Fase B con i modi flessibili dei pannelli</t>
        </is>
      </c>
    </row>
    <row r="37" ht="15" customHeight="1" s="26">
      <c r="A37" s="47" t="inlineStr">
        <is>
          <t>DR-21</t>
        </is>
      </c>
      <c r="B37" s="47" t="inlineStr">
        <is>
          <t>Derivato</t>
        </is>
      </c>
      <c r="C37" s="47" t="inlineStr">
        <is>
          <t>Il baricentro del satellite deve restare vicino alla linea di spinta e al centro di pressione aerodinamico per tutta la vita operativa, anche con lo iodio consumato.</t>
        </is>
      </c>
      <c r="D37" s="47" t="inlineStr">
        <is>
          <t>≤ 10 mm dalla linea di spinta; ≤ 20 mm dal centro di pressione</t>
        </is>
      </c>
      <c r="E37" s="47" t="inlineStr">
        <is>
          <t>Analisi (modello di massa), poi misura e bilanciamento</t>
        </is>
      </c>
      <c r="F37" s="47" t="inlineStr">
        <is>
          <t>TBC</t>
        </is>
      </c>
      <c r="G37" s="47" t="inlineStr">
        <is>
          <t>D-047 (A5)</t>
        </is>
      </c>
      <c r="H37" s="47" t="inlineStr">
        <is>
          <t>Entrambi</t>
        </is>
      </c>
      <c r="I37" s="47" t="inlineStr">
        <is>
          <t>Più stretto di DR-14 (limite del deployer). Coppia da spinta 1,1·10⁻⁵ N·m a 1,1 mN; aerodinamica 6,9·10⁻⁶ N·m alla densità dimensionante. Verifica in A5.7</t>
        </is>
      </c>
    </row>
    <row r="38" ht="15" customHeight="1" s="26">
      <c r="A38" s="47" t="inlineStr">
        <is>
          <t>DR-22</t>
        </is>
      </c>
      <c r="B38" s="47" t="inlineStr">
        <is>
          <t>Derivato</t>
        </is>
      </c>
      <c r="C38" s="47" t="inlineStr">
        <is>
          <t>Le ruote di reazione devono fornire il momento angolare per FMC o slew più la riserva per i disturbi tra due scarichi, anche con una ruota guasta.</t>
        </is>
      </c>
      <c r="D38" s="47" t="inlineStr">
        <is>
          <t>≥ 0,067 N·m·s per asse; coppia ≥ 3 mN·m</t>
        </is>
      </c>
      <c r="E38" s="47" t="inlineStr">
        <is>
          <t>Analisi, poi datasheet / test</t>
        </is>
      </c>
      <c r="F38" s="47" t="inlineStr">
        <is>
          <t>TBC</t>
        </is>
      </c>
      <c r="G38" s="47" t="inlineStr">
        <is>
          <t>D-048 (A5)</t>
        </is>
      </c>
      <c r="H38" s="47" t="inlineStr">
        <is>
          <t>Giuliano</t>
        </is>
      </c>
      <c r="I38" s="47" t="inlineStr">
        <is>
          <t>0,030 (FMC o slew, I = 1,14 kg·m²) + 0,037 (un'orbita di aria alla densità dimensionante, baricentro a 20 mm). W3: 0,163 nominale, 0,082 con una ruota guasta | 30/10/2026 (D-106): rollio fisso fuori dalle riprese → gradiente di gravità ~0,010 N·m·s per orbita (I 1,14/0,26, 40°), da scaricare con i magnetorquer; inerzie con le ali in A5.7</t>
        </is>
      </c>
    </row>
    <row r="39" ht="15" customHeight="1" s="26">
      <c r="A39" s="47" t="inlineStr">
        <is>
          <t>DR-23</t>
        </is>
      </c>
      <c r="B39" s="47" t="inlineStr">
        <is>
          <t>Derivato</t>
        </is>
      </c>
      <c r="C39" s="47" t="inlineStr">
        <is>
          <t>I magnetorquer devono scaricare le ruote durante la spinta e smorzare la rotazione iniziale dopo il rilascio.</t>
        </is>
      </c>
      <c r="D39" s="47" t="inlineStr">
        <is>
          <t>dipolo ≥ 2,5 A·m² per asse</t>
        </is>
      </c>
      <c r="E39" s="47" t="inlineStr">
        <is>
          <t>Analisi, poi datasheet / test</t>
        </is>
      </c>
      <c r="F39" s="47" t="inlineStr">
        <is>
          <t>TBC</t>
        </is>
      </c>
      <c r="G39" s="47" t="inlineStr">
        <is>
          <t>D-049 (A5)</t>
        </is>
      </c>
      <c r="H39" s="47" t="inlineStr">
        <is>
          <t>Giuliano</t>
        </is>
      </c>
      <c r="I39" s="47" t="inlineStr">
        <is>
          <t>Minimo 1,8 A·m² all'equatore; margine 40% per R-26. Detumbling da 10°/s (TBC) in ~1,4 orbite</t>
        </is>
      </c>
    </row>
    <row r="40" ht="15" customHeight="1" s="26">
      <c r="A40" s="47" t="inlineStr">
        <is>
          <t>DR-24</t>
        </is>
      </c>
      <c r="B40" s="47" t="inlineStr">
        <is>
          <t>Derivato</t>
        </is>
      </c>
      <c r="C40" s="47" t="inlineStr">
        <is>
          <t>Durante la ripresa diurna l'assetto deve seguire una legge di yaw steering che allinea il moto del terreno alle colonne del sensore.</t>
        </is>
      </c>
      <c r="D40" s="47" t="inlineStr">
        <is>
          <t>imbardata 2,4–2,9° (dalle effemeridi); residuo corretto a bordo</t>
        </is>
      </c>
      <c r="E40" s="47" t="inlineStr">
        <is>
          <t>Analisi + simulazione GNC</t>
        </is>
      </c>
      <c r="F40" s="47" t="inlineStr">
        <is>
          <t>TBC</t>
        </is>
      </c>
      <c r="G40" s="47" t="inlineStr">
        <is>
          <t>D-054 (A5)</t>
        </is>
      </c>
      <c r="H40" s="47" t="inlineStr">
        <is>
          <t>Giuliano</t>
        </is>
      </c>
      <c r="I40" s="47" t="inlineStr">
        <is>
          <t>Senza: 51 m (34 pixel) di traverso tra i passaggi TDI, 270 m tra PAN e ultima banda</t>
        </is>
      </c>
    </row>
    <row r="41" ht="15" customHeight="1" s="26">
      <c r="A41" s="47" t="inlineStr">
        <is>
          <t>DR-25</t>
        </is>
      </c>
      <c r="B41" s="47" t="inlineStr">
        <is>
          <t>Derivato</t>
        </is>
      </c>
      <c r="C41" s="47" t="inlineStr">
        <is>
          <t>Durante la FMC notturna fuori nadir la guida deve comandare l'imbardata che annulla la rotazione della scena attorno all'asse ottico, e la deriva casuale d'imbardata durante una raffica deve restare sotto la soglia di 1/3 di pixel all'angolo del campo.</t>
        </is>
      </c>
      <c r="D41" s="47" t="inlineStr">
        <is>
          <t>legge d'imbardata 0–0,56°/s (0,39°/s a 30°); deriva casuale ≤ 0,066°/s (raffica città 0,2 s), ≤ 0,088°/s (paesi 0,3 s)</t>
        </is>
      </c>
      <c r="E41" s="47" t="inlineStr">
        <is>
          <t>Analisi + simulazione GNC (3-assi in Fase B)</t>
        </is>
      </c>
      <c r="F41" s="47" t="inlineStr">
        <is>
          <t>TBC</t>
        </is>
      </c>
      <c r="G41" s="47" t="inlineStr">
        <is>
          <t>D-056 (A5)</t>
        </is>
      </c>
      <c r="H41" s="47" t="inlineStr">
        <is>
          <t>Giuliano</t>
        </is>
      </c>
      <c r="I41" s="47" t="inlineStr">
        <is>
          <t>Rotazione della scena = V·tanθ/(2R), verificata con il calcolo numerico. Momento ≤ 0,006 N·m·s. Con GY2 la deriva vera d'imbardata è ~0,0005°/s</t>
        </is>
      </c>
    </row>
    <row r="42" ht="15" customHeight="1" s="26">
      <c r="A42" s="47" t="inlineStr">
        <is>
          <t>DR-26</t>
        </is>
      </c>
      <c r="B42" s="47" t="inlineStr">
        <is>
          <t>Derivato</t>
        </is>
      </c>
      <c r="C42" s="47" t="inlineStr">
        <is>
          <t>Il riallineamento a bordo di bande RGB-NIR, passaggi TDI e scatti notturni deve usare un modello geometrico completo (orbita, assetto misurato, DEM di bordo), non una traslazione unica.</t>
        </is>
      </c>
      <c r="D42" s="47" t="inlineStr">
        <is>
          <t>residuo ≤ 1/3 pixel; DEM con errore verticale ≤ 20 m (TBC)</t>
        </is>
      </c>
      <c r="E42" s="47" t="inlineStr">
        <is>
          <t>Analisi, poi test con immagini simulate</t>
        </is>
      </c>
      <c r="F42" s="47" t="inlineStr">
        <is>
          <t>TBC</t>
        </is>
      </c>
      <c r="G42" s="47" t="inlineStr">
        <is>
          <t>D-056 (A5)</t>
        </is>
      </c>
      <c r="H42" s="47" t="inlineStr">
        <is>
          <t>Entrambi</t>
        </is>
      </c>
      <c r="I42" s="47" t="inlineStr">
        <is>
          <t>Stessa funzione di ortorettifica di MR-10. Errore verticale del DEM ammesso per le bande: ~49 m a nadir per 1/3 pixel colore; 20 m con margine. Con un DEM da ~4 m residuo 0,27 µrad | 30/10/2026 (D-101, Giuseppe): al modello geometrico si aggiunge come complemento la correlazione d'immagine tra le bande (correlazione di fase su riquadri): precisione ~0,1 pixel su scene con contorni, ~1 s a scena sul processore della scheda, &lt; 0,1 s su FPGA. Limiti: mare, nuvole e zone uniformi (lì vale il modello con il giroscopio, DR-58); il NIR inverte i contrasti, quindi si allinea al rosso e non alla PAN. Da provare con immagini simulate in Fase B</t>
        </is>
      </c>
    </row>
    <row r="43" ht="15" customHeight="1" s="26">
      <c r="A43" s="47" t="inlineStr">
        <is>
          <t>DR-27</t>
        </is>
      </c>
      <c r="B43" s="47" t="inlineStr">
        <is>
          <t>Derivato</t>
        </is>
      </c>
      <c r="C43" s="47" t="inlineStr">
        <is>
          <t>Durante la spinta la direzione di spinta deve restare vicina al vettore velocità.</t>
        </is>
      </c>
      <c r="D43" s="47" t="inlineStr">
        <is>
          <t>≤ 5° (TBC)</t>
        </is>
      </c>
      <c r="E43" s="47" t="inlineStr">
        <is>
          <t>Analisi</t>
        </is>
      </c>
      <c r="F43" s="47" t="inlineStr">
        <is>
          <t>TBC</t>
        </is>
      </c>
      <c r="G43" s="47" t="inlineStr">
        <is>
          <t>D-058 (A5)</t>
        </is>
      </c>
      <c r="H43" s="47" t="inlineStr">
        <is>
          <t>Giuliano</t>
        </is>
      </c>
      <c r="I43" s="47" t="inlineStr">
        <is>
          <t>5° = 0,38% del ΔV (0,85 m/s in vita). Disallineamento motore–assetto compreso</t>
        </is>
      </c>
    </row>
    <row r="44" ht="15" customHeight="1" s="26">
      <c r="A44" s="47" t="inlineStr">
        <is>
          <t>DR-28</t>
        </is>
      </c>
      <c r="B44" s="47" t="inlineStr">
        <is>
          <t>Derivato</t>
        </is>
      </c>
      <c r="C44" s="47" t="inlineStr">
        <is>
          <t>Se la banda X è adottata (A5.5.2), l'ADCS deve poter puntare e inseguire una stazione di terra durante un contatto; per comandi e telemetria non è richiesto (antenne quasi omnidirezionali, D-068).</t>
        </is>
      </c>
      <c r="D44" s="47" t="inlineStr">
        <is>
          <t>errore ≤ 1° (TBC)</t>
        </is>
      </c>
      <c r="E44" s="47" t="inlineStr">
        <is>
          <t>Analisi + simulazione GNC</t>
        </is>
      </c>
      <c r="F44" s="47" t="inlineStr">
        <is>
          <t>TBC</t>
        </is>
      </c>
      <c r="G44" s="47" t="inlineStr">
        <is>
          <t>D-058, D-068 (A5)</t>
        </is>
      </c>
      <c r="H44" s="47" t="inlineStr">
        <is>
          <t>Giuliano</t>
        </is>
      </c>
      <c r="I44" s="47" t="inlineStr">
        <is>
          <t>Uso deciso nel passo TT&amp;C con l'antenna: fissa a nadir con fascio ±60° resta il 29–37% del contatto, con ±70° il 97–98%. Riusa la guida di puntamento dei bersagli 30/10/2026 (D-068): riformulato, vale solo per la banda X. Costo verificato: linea di vista max 1,47°/s, 0,029 N·m·s, coppia 4,6·10⁻⁴ N·m, come la FMC (D-044). In questo modo niente spinta durante il contatto (R-14) e DR-37 da verificare (telescopio 2,6° sotto il bordo della Terra a 10° di elevazione). | 30/10/2026 (D-082): niente banda X, quindi l'inseguimento della stazione non serve; resta come capacità della guida, senza requisito di progetto.</t>
        </is>
      </c>
    </row>
    <row r="45">
      <c r="A45" s="47" t="inlineStr">
        <is>
          <t>DR-29</t>
        </is>
      </c>
      <c r="B45" s="47" t="inlineStr">
        <is>
          <t>Derivato</t>
        </is>
      </c>
      <c r="C45" s="47" t="inlineStr">
        <is>
          <t>In safe mode il satellite deve tenere i pannelli verso il Sole con un errore limitato e una conoscenza d'assetto grossolana.</t>
        </is>
      </c>
      <c r="D45" s="47" t="inlineStr">
        <is>
          <t>Sole ≤ 15° dalla normale dei pannelli; AKE ≤ 1° (TBC)</t>
        </is>
      </c>
      <c r="E45" s="47" t="inlineStr">
        <is>
          <t>Analisi + simulazione GNC</t>
        </is>
      </c>
      <c r="F45" s="47" t="inlineStr">
        <is>
          <t>TBC</t>
        </is>
      </c>
      <c r="G45" s="47" t="inlineStr">
        <is>
          <t>D-058 (A5)</t>
        </is>
      </c>
      <c r="H45" s="47" t="inlineStr">
        <is>
          <t>Giuliano</t>
        </is>
      </c>
      <c r="I45" s="47" t="inlineStr">
        <is>
          <t>15° → 96,6% della potenza. Valori come EarthNext (AKE &lt; 1° in detumbling). Ingresso per A5.6 | 30/10/2026 (D-106): in safe la faccia a zenit (ali) punta il Sole entro 15° | 30/10/2026 (A5.6.7): safe simulato con ali verso il Sole entro 15°: SoC minimo 84%, avanzo ~1.070 Wh/giorno</t>
        </is>
      </c>
    </row>
    <row r="46">
      <c r="A46" s="47" t="inlineStr">
        <is>
          <t>DR-30</t>
        </is>
      </c>
      <c r="B46" s="47" t="inlineStr">
        <is>
          <t>Derivato</t>
        </is>
      </c>
      <c r="C46" s="47" t="inlineStr">
        <is>
          <t>Le ruote di reazione devono avere sbilanciamento e posizione tali da tenere il jitter sotto DR-02, senza risonanze della struttura nella banda di velocità delle ruote.</t>
        </is>
      </c>
      <c r="D46" s="47" t="inlineStr">
        <is>
          <t>per ruota Us ≤ 1 g·mm, Ud ≤ 10 g·mm²; distanza dal baricentro ≤ 10 cm</t>
        </is>
      </c>
      <c r="E46" s="47" t="inlineStr">
        <is>
          <t>Datasheet / misura del costruttore, poi test di microvibrazione (Fase B)</t>
        </is>
      </c>
      <c r="F46" s="47" t="inlineStr">
        <is>
          <t>TBC</t>
        </is>
      </c>
      <c r="G46" s="47" t="inlineStr">
        <is>
          <t>D-059 (A5)</t>
        </is>
      </c>
      <c r="H46" s="47" t="inlineStr">
        <is>
          <t>Giuliano</t>
        </is>
      </c>
      <c r="I46" s="47" t="inlineStr">
        <is>
          <t>Stima a corpo rigido θ = (Ud + Us·d)/I. Sbilanciamento RWp100 non pubblicato: da chiedere a BCT</t>
        </is>
      </c>
    </row>
    <row r="47">
      <c r="A47" s="47" t="inlineStr">
        <is>
          <t>DR-31</t>
        </is>
      </c>
      <c r="B47" s="47" t="inlineStr">
        <is>
          <t>Derivato</t>
        </is>
      </c>
      <c r="C47" s="47" t="inlineStr">
        <is>
          <t>La catena notturna deve dichiarare "blackout" solo con calo di luce ≥ 70% rispetto al riferimento (fondo lunare tolto) su almeno 2 × 2 celle da 150 m (riferimento PULSE) o 2 × 2 pixel VIIRS (solo VIIRS); calo 40–70% = "calo parziale".</t>
        </is>
      </c>
      <c r="D47" s="47" t="inlineStr">
        <is>
          <t>≥ 70%; 300 × 300 m / ~1 × 1 km</t>
        </is>
      </c>
      <c r="E47" s="47" t="inlineStr">
        <is>
          <t>Analisi, poi test su blackout reali (Fase B)</t>
        </is>
      </c>
      <c r="F47" s="47" t="inlineStr">
        <is>
          <t>TBC</t>
        </is>
      </c>
      <c r="G47" s="47" t="inlineStr">
        <is>
          <t>D-064 (A4)</t>
        </is>
      </c>
      <c r="H47" s="47" t="inlineStr">
        <is>
          <t>Giuseppe</t>
        </is>
      </c>
      <c r="I47" s="47" t="inlineStr">
        <is>
          <t>Ipotesi: variazione tra notti ~20%, luci residue 10–20% (R-36)</t>
        </is>
      </c>
    </row>
    <row r="48">
      <c r="A48" s="47" t="inlineStr">
        <is>
          <t>DR-32</t>
        </is>
      </c>
      <c r="B48" s="47" t="inlineStr">
        <is>
          <t>Derivato</t>
        </is>
      </c>
      <c r="C48" s="47" t="inlineStr">
        <is>
          <t>Il fondo di luce lunare va stimato nella stessa immagine su zone vicine non illuminate, corretto con l'albedo del suolo, con errore limitato.</t>
        </is>
      </c>
      <c r="D48" s="47" t="inlineStr">
        <is>
          <t>errore ≤ 10% del fondo (TBC)</t>
        </is>
      </c>
      <c r="E48" s="47" t="inlineStr">
        <is>
          <t>Analisi, poi test</t>
        </is>
      </c>
      <c r="F48" s="47" t="inlineStr">
        <is>
          <t>TBC</t>
        </is>
      </c>
      <c r="G48" s="47" t="inlineStr">
        <is>
          <t>D-063 (A4)</t>
        </is>
      </c>
      <c r="H48" s="47" t="inlineStr">
        <is>
          <t>Giuseppe</t>
        </is>
      </c>
      <c r="I48" s="47" t="inlineStr">
        <is>
          <t>Con neve e luna i paesi sono "non confermabili"</t>
        </is>
      </c>
    </row>
    <row r="49">
      <c r="A49" s="47" t="inlineStr">
        <is>
          <t>DR-33</t>
        </is>
      </c>
      <c r="B49" s="47" t="inlineStr">
        <is>
          <t>Derivato</t>
        </is>
      </c>
      <c r="C49" s="47" t="inlineStr">
        <is>
          <t>A terra ogni zona candidata deve essere controllata con la maschera nuvole Meteosat MTG più vicina nel tempo al passaggio.</t>
        </is>
      </c>
      <c r="D49" s="47" t="inlineStr">
        <is>
          <t>entro ± 10 min</t>
        </is>
      </c>
      <c r="E49" s="47" t="inlineStr">
        <is>
          <t>Ispezione, test della catena a terra</t>
        </is>
      </c>
      <c r="F49" s="47" t="inlineStr">
        <is>
          <t>TBC</t>
        </is>
      </c>
      <c r="G49" s="47" t="inlineStr">
        <is>
          <t>D-062 (A4)</t>
        </is>
      </c>
      <c r="H49" s="47" t="inlineStr">
        <is>
          <t>Giuseppe</t>
        </is>
      </c>
      <c r="I49" s="47" t="inlineStr">
        <is>
          <t>Accesso ai dati EUMETSAT da verificare; nebbia: R-34</t>
        </is>
      </c>
    </row>
    <row r="50">
      <c r="A50" s="47" t="inlineStr">
        <is>
          <t>DR-34</t>
        </is>
      </c>
      <c r="B50" s="47" t="inlineStr">
        <is>
          <t>Derivato</t>
        </is>
      </c>
      <c r="C50" s="47" t="inlineStr">
        <is>
          <t>La memoria di bordo deve contenere, oltre a OSM e DEM, le mappe notturne VIIRS e una mappa di albedo per la conferma dei blackout.</t>
        </is>
      </c>
      <c r="D50" s="47" t="inlineStr">
        <is>
          <t>VIIRS ~22 MB a mappa (≥ 1 a stagione, fino a ~270 MB); albedo 100 m ~30 MB</t>
        </is>
      </c>
      <c r="E50" s="47" t="inlineStr">
        <is>
          <t>Analisi (budget dati A5)</t>
        </is>
      </c>
      <c r="F50" s="47" t="inlineStr">
        <is>
          <t>TBC</t>
        </is>
      </c>
      <c r="G50" s="47" t="inlineStr">
        <is>
          <t>D-061, D-065 (A4)</t>
        </is>
      </c>
      <c r="H50" s="47" t="inlineStr">
        <is>
          <t>Giuseppe</t>
        </is>
      </c>
      <c r="I50" s="47" t="inlineStr">
        <is>
          <t>Integra D-008 (DEM ~670 MB)</t>
        </is>
      </c>
    </row>
    <row r="51">
      <c r="A51" s="47" t="inlineStr">
        <is>
          <t>DR-35</t>
        </is>
      </c>
      <c r="B51" s="47" t="inlineStr">
        <is>
          <t>Derivato</t>
        </is>
      </c>
      <c r="C51" s="47" t="inlineStr">
        <is>
          <t>Per ogni zona notturna candidata il satellite deve scaricare i vettori e un ritaglio dell'immagine.</t>
        </is>
      </c>
      <c r="D51" s="47" t="inlineStr">
        <is>
          <t>~0,26 MB per 2 × 2 km a 4,8 m (12 bit)</t>
        </is>
      </c>
      <c r="E51" s="47" t="inlineStr">
        <is>
          <t>Analisi (link budget A5)</t>
        </is>
      </c>
      <c r="F51" s="47" t="inlineStr">
        <is>
          <t>TBC</t>
        </is>
      </c>
      <c r="G51" s="47" t="inlineStr">
        <is>
          <t>D-065 (A4)</t>
        </is>
      </c>
      <c r="H51" s="47" t="inlineStr">
        <is>
          <t>Entrambi</t>
        </is>
      </c>
      <c r="I51" s="47" t="inlineStr">
        <is>
          <t>Volume per notte da inserire nel budget dati (Giuliano) 26/10/2026 (D-065): zone candidate a terra entro ~10 min dalla ripresa (Svalbard 5,4–7,9 min dopo, Fucino ancora in vista). Priorità di scarico sopra le scene d'archivio (D-067). 30/10/2026 (D-069): una zona candidata da 0,26 MB passa in ~0,5 s a 4,3 Mbit/s.</t>
        </is>
      </c>
    </row>
    <row r="52" s="26">
      <c r="A52" s="47" t="inlineStr">
        <is>
          <t>DR-36</t>
        </is>
      </c>
      <c r="B52" s="47" t="inlineStr">
        <is>
          <t>Derivato</t>
        </is>
      </c>
      <c r="C52" s="47" t="inlineStr">
        <is>
          <t>La costellazione deve raccogliere e scaricare immagini notturne di riferimento (notti normali, senza luna forte e senza nuvole) su città e zone a rischio.</t>
        </is>
      </c>
      <c r="D52" s="47" t="inlineStr">
        <is>
          <t>~2–4 scene per satellite per notte (media ~2,7, stima), scaricate nello stesso contatto notturno (D-083)</t>
        </is>
      </c>
      <c r="E52" s="47" t="inlineStr">
        <is>
          <t>Analisi operativa</t>
        </is>
      </c>
      <c r="F52" s="47" t="inlineStr">
        <is>
          <t>TBC</t>
        </is>
      </c>
      <c r="G52" s="47" t="inlineStr">
        <is>
          <t>D-061, D-065 (A4), D-083 (A5)</t>
        </is>
      </c>
      <c r="H52" s="47" t="inlineStr">
        <is>
          <t>Entrambi</t>
        </is>
      </c>
      <c r="I52" s="47" t="inlineStr">
        <is>
          <t>Da pianificare con Giuliano (tempo notturno, manovre, scarico) 26/10/2026 (D-067): scarico in coda a bassa priorità entro 24 h; numero di scene per notte da fissare in A5.5 (stima 2–4 per satellite che attraversa l'Italia, TBC). | 30/10/2026 (D-083): limite dato dalla geometria del passaggio, non dallo scarico (contatto notturno 98–125 MB contro ~37 MB nel caso peggiore).</t>
        </is>
      </c>
    </row>
    <row r="53" s="26">
      <c r="A53" s="47" t="inlineStr">
        <is>
          <t>DR-37</t>
        </is>
      </c>
      <c r="B53" s="47" t="inlineStr">
        <is>
          <t>Derivato</t>
        </is>
      </c>
      <c r="C53" s="47" t="inlineStr">
        <is>
          <t>In nessun modo operativo (safe, detumbling, slew, spinta, contatti) il Sole deve entrare nel campo del telescopio; il coperchio dell'apertura resta chiuso in safe, durante la spinta e fino al commissioning.</t>
        </is>
      </c>
      <c r="D53" s="47" t="inlineStr">
        <is>
          <t>Con coperchio aperto Sole ≥ 52° dall'asse ottico (paraluce ~10 cm); in ripresa diurna il caso peggiore è ~65° (TBC)</t>
        </is>
      </c>
      <c r="E53" s="47" t="inlineStr">
        <is>
          <t>Analisi (geometria dei modi), poi simulazione GNC</t>
        </is>
      </c>
      <c r="F53" s="47" t="inlineStr">
        <is>
          <t>TBC</t>
        </is>
      </c>
      <c r="G53" s="47" t="inlineStr">
        <is>
          <t>D-058, D-034 (A5), D-079 (A5)</t>
        </is>
      </c>
      <c r="H53" s="47" t="inlineStr">
        <is>
          <t>Entrambi</t>
        </is>
      </c>
      <c r="I53" s="47" t="inlineStr">
        <is>
          <t>Sole focalizzato sul piano focale = sensori danneggiati. Valore dell'angolo dall'analisi di luce parassita (A5 payload / Fase B) | 30/10/2026 (D-079 approvata): con coperchio bloccato aperto (R-43) il safe deve tenere il telescopio ≥ 52° dal Sole: pannelli perpendicolari all'asse ottico (A5.6). | 30/10/2026 (D-106): con ali a zenit, in safe il telescopio guarda a ~180° dal Sole: DR-37 rispettato anche con coperchio bloccato aperto</t>
        </is>
      </c>
    </row>
    <row r="54" s="26">
      <c r="A54" s="47" t="inlineStr">
        <is>
          <t>DR-38</t>
        </is>
      </c>
      <c r="B54" s="47" t="inlineStr">
        <is>
          <t>Derivato</t>
        </is>
      </c>
      <c r="C54" s="47" t="inlineStr">
        <is>
          <t>La prima frequenza propria del telescopio (struttura e supporto del secondario) deve stare fuori dalla banda di velocità operative delle ruote di reazione.</t>
        </is>
      </c>
      <c r="D54" s="47" t="inlineStr">
        <is>
          <t>Valore TBD (Fase B)</t>
        </is>
      </c>
      <c r="E54" s="47" t="inlineStr">
        <is>
          <t>Analisi modale, poi prova di vibrazione</t>
        </is>
      </c>
      <c r="F54" s="47" t="inlineStr">
        <is>
          <t>TBD</t>
        </is>
      </c>
      <c r="G54" s="47" t="inlineStr">
        <is>
          <t>D-059 (A5)</t>
        </is>
      </c>
      <c r="H54" s="47" t="inlineStr">
        <is>
          <t>Giuseppe</t>
        </is>
      </c>
      <c r="I54" s="47" t="inlineStr">
        <is>
          <t>Insieme a DR-30 tiene il jitter sotto DR-02. In alternativa velocità operative delle ruote che evitano la risonanza</t>
        </is>
      </c>
    </row>
    <row r="55" s="26">
      <c r="A55" s="47" t="inlineStr">
        <is>
          <t>DR-39</t>
        </is>
      </c>
      <c r="B55" s="47" t="inlineStr">
        <is>
          <t>Derivato</t>
        </is>
      </c>
      <c r="C55" s="47" t="inlineStr">
        <is>
          <t>Per i bersagli notturni (blackout) la pianificazione deve prevedere una seconda ripresa con il satellite successivo quando entrambi i satelliti vedono il bersaglio entro il limite di puntamento e lo slot è libero.</t>
        </is>
      </c>
      <c r="D55" s="47" t="inlineStr">
        <is>
          <t>≤ 45° off-nadir; intervallo ~22 min (21,6–23,2)</t>
        </is>
      </c>
      <c r="E55" s="47" t="inlineStr">
        <is>
          <t>Analisi (GMAT), poi simulazione operativa (Fase B)</t>
        </is>
      </c>
      <c r="F55" s="47" t="inlineStr">
        <is>
          <t>TBC</t>
        </is>
      </c>
      <c r="G55" s="47" t="inlineStr">
        <is>
          <t>D-066 (A4)</t>
        </is>
      </c>
      <c r="H55" s="47" t="inlineStr">
        <is>
          <t>Giuliano</t>
        </is>
      </c>
      <c r="I55" s="47" t="inlineStr">
        <is>
          <t>Possibile nel 16% dei casi da prime riprese ≤ 30°, 28% da ≤ 45° (GMAT gen 2026). Seconda ripresa in modalità degradata (MR-05)</t>
        </is>
      </c>
    </row>
    <row r="56">
      <c r="A56" s="47" t="inlineStr">
        <is>
          <t>DR-40</t>
        </is>
      </c>
      <c r="B56" s="47" t="inlineStr">
        <is>
          <t>Derivato</t>
        </is>
      </c>
      <c r="C56" s="47" t="inlineStr">
        <is>
          <t>Il collegamento di comando e telemetria deve funzionare in qualunque assetto del satellite (riprese, spinta, safe, detumbling), senza puntare la stazione, per tutto il contatto sopra l'elevazione minima.</t>
        </is>
      </c>
      <c r="D56" s="47" t="inlineStr">
        <is>
          <t>copertura ≥ 95% del tempo di contatto sopra 10° (TBC); velocità minima dal link budget A5.5.4</t>
        </is>
      </c>
      <c r="E56" s="47" t="inlineStr">
        <is>
          <t>Analisi (diagrammi d'antenna, link budget), poi prova in camera anecoica (Fase C)</t>
        </is>
      </c>
      <c r="F56" s="47" t="inlineStr">
        <is>
          <t>TBC</t>
        </is>
      </c>
      <c r="G56" s="47" t="inlineStr">
        <is>
          <t>D-068 (A5)</t>
        </is>
      </c>
      <c r="H56" s="47" t="inlineStr">
        <is>
          <t>Giuliano</t>
        </is>
      </c>
      <c r="I56" s="47" t="inlineStr">
        <is>
          <t>Due antenne a basso guadagno nadir + zenit. Con ±70° dal nadir resta il 97–98% del contatto. Caso peggiore 10° di elevazione: 1.166 km, +11,7 dB rispetto allo zenit | 30/10/2026 (D-080): patch a nadir compatta ≤ 60 mm nella striscia di D-078; guadagno TBC, coperto dal margine di D-069.</t>
        </is>
      </c>
    </row>
    <row r="57">
      <c r="A57" s="47" t="inlineStr">
        <is>
          <t>DR-41</t>
        </is>
      </c>
      <c r="B57" s="47" t="inlineStr">
        <is>
          <t>Derivato</t>
        </is>
      </c>
      <c r="C57" s="47" t="inlineStr">
        <is>
          <t>Il collegamento di discesa in banda S deve garantire la velocità nominale per tutto il contatto sopra l'elevazione minima, con margine di collegamento ≥ 3 dB, e poter scendere a velocità più basse in volo.</t>
        </is>
      </c>
      <c r="D57" s="47" t="inlineStr">
        <is>
          <t>4,3 Mbit/s utili a 10° di elevazione, margine ≥ 3 dB (calcolato 7,8 dB)</t>
        </is>
      </c>
      <c r="E57" s="47" t="inlineStr">
        <is>
          <t>Analisi (link budget), poi prova di compatibilità con la stazione (Fase C)</t>
        </is>
      </c>
      <c r="F57" s="47" t="inlineStr">
        <is>
          <t>TBC</t>
        </is>
      </c>
      <c r="G57" s="47" t="inlineStr">
        <is>
          <t>D-069 (A5)</t>
        </is>
      </c>
      <c r="H57" s="47" t="inlineStr">
        <is>
          <t>Giuliano</t>
        </is>
      </c>
      <c r="I57" s="47" t="inlineStr">
        <is>
          <t>Calcolato con G/T 12,6 dB/K (KSAT 3,7 m): da rifare con le antenne reali delle stazioni scelte | 30/10/2026 (D-082): uso previsto &lt; 10% della capacità anche nel caso peggiore.</t>
        </is>
      </c>
    </row>
    <row r="58">
      <c r="A58" s="47" t="inlineStr">
        <is>
          <t>DR-42</t>
        </is>
      </c>
      <c r="B58" s="47" t="inlineStr">
        <is>
          <t>Derivato</t>
        </is>
      </c>
      <c r="C58" s="47" t="inlineStr">
        <is>
          <t>Per ogni allarme diurno il satellite deve scaricare il vettore e un ritaglio dell'immagine; oltre il peso della scena intera compressa si scarica la scena.</t>
        </is>
      </c>
      <c r="D58" s="47" t="inlineStr">
        <is>
          <t>~0,67 MB per 1 × 1 km (pan + 4 bande, senza perdita) + ~5–20 kB di vettore</t>
        </is>
      </c>
      <c r="E58" s="47" t="inlineStr">
        <is>
          <t>Analisi (link budget A5.5)</t>
        </is>
      </c>
      <c r="F58" s="47" t="inlineStr">
        <is>
          <t>TBC</t>
        </is>
      </c>
      <c r="G58" s="47" t="inlineStr">
        <is>
          <t>D-070 (A5)</t>
        </is>
      </c>
      <c r="H58" s="47" t="inlineStr">
        <is>
          <t>Entrambi</t>
        </is>
      </c>
      <c r="I58" s="47" t="n"/>
    </row>
    <row r="59">
      <c r="A59" s="47" t="inlineStr">
        <is>
          <t>DR-43</t>
        </is>
      </c>
      <c r="B59" s="47" t="inlineStr">
        <is>
          <t>Derivato</t>
        </is>
      </c>
      <c r="C59" s="47" t="inlineStr">
        <is>
          <t>La scheda di bordo deve comprimere le immagini prima dello scarico: senza perdita per ritagli d'allarme, scene notturne e calibrazione; quasi senza perdita per le scene diurne intere.</t>
        </is>
      </c>
      <c r="D59" s="47" t="inlineStr">
        <is>
          <t>~2:1 senza perdita; ~4:1 quasi senza perdita con errore ≤ 2 livelli su 4096 (TBC)</t>
        </is>
      </c>
      <c r="E59" s="47" t="inlineStr">
        <is>
          <t>Analisi, poi test su immagini simulate e reali</t>
        </is>
      </c>
      <c r="F59" s="47" t="inlineStr">
        <is>
          <t>TBC</t>
        </is>
      </c>
      <c r="G59" s="47" t="inlineStr">
        <is>
          <t>D-071 (A5)</t>
        </is>
      </c>
      <c r="H59" s="47" t="inlineStr">
        <is>
          <t>Giuseppe</t>
        </is>
      </c>
      <c r="I59" s="47" t="inlineStr">
        <is>
          <t>Carico di calcolo da includere in A5.P3 30/10/2026: ID rinumerato (era DR-40) per un conflitto di numerazione tra le due copie del registro.</t>
        </is>
      </c>
    </row>
    <row r="60">
      <c r="A60" s="47" t="inlineStr">
        <is>
          <t>DR-44</t>
        </is>
      </c>
      <c r="B60" s="47" t="inlineStr">
        <is>
          <t>Derivato</t>
        </is>
      </c>
      <c r="C60" s="47" t="inlineStr">
        <is>
          <t>Ogni satellite deve poter scaricare scene diurne intere per la verifica dell'AI, oltre ad allarmi e archivio notturno.</t>
        </is>
      </c>
      <c r="D60" s="47" t="inlineStr">
        <is>
          <t>4 scene/giorno (~124 MB) nei primi 3 mesi, poi 1 scena/giorno (~31 MB) (TBC)</t>
        </is>
      </c>
      <c r="E60" s="47" t="inlineStr">
        <is>
          <t>Analisi (link budget A5.5)</t>
        </is>
      </c>
      <c r="F60" s="47" t="inlineStr">
        <is>
          <t>TBC</t>
        </is>
      </c>
      <c r="G60" s="47" t="inlineStr">
        <is>
          <t>D-072 (A5)</t>
        </is>
      </c>
      <c r="H60" s="47" t="inlineStr">
        <is>
          <t>Entrambi</t>
        </is>
      </c>
      <c r="I60" s="47" t="inlineStr">
        <is>
          <t>30/10/2026: ID rinumerato (era DR-41) per un conflitto di numerazione tra le due copie del registro. | 30/10/2026 (D-072 approvata): "fino a 4" scene al giorno; media stimata 2,7.</t>
        </is>
      </c>
    </row>
    <row r="61">
      <c r="A61" s="47" t="inlineStr">
        <is>
          <t>DR-45</t>
        </is>
      </c>
      <c r="B61" s="47" t="inlineStr">
        <is>
          <t>Derivato</t>
        </is>
      </c>
      <c r="C61" s="47" t="inlineStr">
        <is>
          <t>La memoria di bordo deve gestire la coda di scarico per classi di priorità, con invecchiamento e ordine modificabile da terra.</t>
        </is>
      </c>
      <c r="D61" s="47" t="inlineStr">
        <is>
          <t>5 classi; un dato in coda &gt; 24 h sale di una classe</t>
        </is>
      </c>
      <c r="E61" s="47" t="inlineStr">
        <is>
          <t>Ispezione del software, test (Fase C)</t>
        </is>
      </c>
      <c r="F61" s="47" t="inlineStr">
        <is>
          <t>TBC</t>
        </is>
      </c>
      <c r="G61" s="47" t="inlineStr">
        <is>
          <t>D-073 (A5)</t>
        </is>
      </c>
      <c r="H61" s="47" t="inlineStr">
        <is>
          <t>Entrambi</t>
        </is>
      </c>
      <c r="I61" s="47" t="inlineStr">
        <is>
          <t>Allarmi sempre per primi 30/10/2026: ID rinumerato (era DR-42) per un conflitto di numerazione tra le due copie del registro.</t>
        </is>
      </c>
    </row>
    <row r="62">
      <c r="A62" s="47" t="inlineStr">
        <is>
          <t>DR-46</t>
        </is>
      </c>
      <c r="B62" s="47" t="inlineStr">
        <is>
          <t>Derivato</t>
        </is>
      </c>
      <c r="C62" s="47" t="inlineStr">
        <is>
          <t>Un comando di emergenza deve interrompere la spinta e portare il satellite in assetto di ripresa con il coperchio aperto in tempo per il passaggio.</t>
        </is>
      </c>
      <c r="D62" s="47" t="inlineStr">
        <is>
          <t>Spinta vietata da N min prima di una ripresa pianificata (N TBD dal termico)</t>
        </is>
      </c>
      <c r="E62" s="47" t="inlineStr">
        <is>
          <t>Analisi, poi simulazione operativa (Fase B)</t>
        </is>
      </c>
      <c r="F62" s="47" t="inlineStr">
        <is>
          <t>TBD</t>
        </is>
      </c>
      <c r="G62" s="47" t="inlineStr">
        <is>
          <t>D-074 (A5)</t>
        </is>
      </c>
      <c r="H62" s="47" t="inlineStr">
        <is>
          <t>Entrambi</t>
        </is>
      </c>
      <c r="I62" s="47" t="inlineStr">
        <is>
          <t>Spinta disponibile &gt; ~20 h/giorno anche con N = 90 min 30/10/2026: ID rinumerato (era DR-43) per un conflitto di numerazione tra le due copie del registro. | 30/10/2026 (D-099, Proposta): N = 30 min (TBC).</t>
        </is>
      </c>
    </row>
    <row r="63">
      <c r="A63" s="47" t="inlineStr">
        <is>
          <t>DR-47</t>
        </is>
      </c>
      <c r="B63" s="47" t="inlineStr">
        <is>
          <t>Derivato</t>
        </is>
      </c>
      <c r="C63" s="47" t="inlineStr">
        <is>
          <t>I comandi da terra devono essere autenticati e cifrati; il satellite esegue un piano a tempo per le 24 h successive, aggiornabile a ogni contatto.</t>
        </is>
      </c>
      <c r="D63" s="47" t="inlineStr">
        <is>
          <t>CCSDS SDLS (TBC); piano ≥ 24 h</t>
        </is>
      </c>
      <c r="E63" s="47" t="inlineStr">
        <is>
          <t>Ispezione, test (Fase C)</t>
        </is>
      </c>
      <c r="F63" s="47" t="inlineStr">
        <is>
          <t>TBC</t>
        </is>
      </c>
      <c r="G63" s="47" t="inlineStr">
        <is>
          <t>D-075 (A5)</t>
        </is>
      </c>
      <c r="H63" s="47" t="inlineStr">
        <is>
          <t>Giuliano</t>
        </is>
      </c>
      <c r="I63" s="47" t="inlineStr">
        <is>
          <t>Fucino riserva e comandi nei passaggi senza ripresa 30/10/2026: ID rinumerato (era DR-44) per un conflitto di numerazione tra le due copie del registro.</t>
        </is>
      </c>
    </row>
    <row r="64">
      <c r="A64" s="47" t="inlineStr">
        <is>
          <t>DR-48</t>
        </is>
      </c>
      <c r="B64" s="47" t="inlineStr">
        <is>
          <t>Derivato</t>
        </is>
      </c>
      <c r="C64" s="47" t="inlineStr">
        <is>
          <t>Gli allarmi diurni urgenti devono essere pronti per lo scarico verso Fucino entro la fine del contatto nello stesso passaggio sull'Italia, quando la finestra lo permette (obiettivo, non garanzia); gli allarmi notturni si scaricano al contatto con Svalbard successivo.</t>
        </is>
      </c>
      <c r="D64" s="47" t="inlineStr">
        <is>
          <t>Allarmi diurni pronti ≤ ~60 s dopo l'ultima ripresa (TBC); finestra Fucino residua di giorno 50–198 s (mediana 106–136 s, GMAT); notte: Svalbard entro 5–8 min</t>
        </is>
      </c>
      <c r="E64" s="47" t="inlineStr">
        <is>
          <t>Analisi (GMAT finestra Fucino), poi test sulla scheda (Fase B/C)</t>
        </is>
      </c>
      <c r="F64" s="47" t="inlineStr">
        <is>
          <t>TBC</t>
        </is>
      </c>
      <c r="G64" s="47" t="inlineStr">
        <is>
          <t>D-081 (A5.P3)</t>
        </is>
      </c>
      <c r="H64" s="47" t="inlineStr">
        <is>
          <t>Entrambi</t>
        </is>
      </c>
      <c r="I64" s="47" t="inlineStr">
        <is>
          <t>Giuseppe: tempo dell'AI; Giuliano: finestra di contatto con Fucino e ricezione in banda S | 30/10/2026 riscritto con D-081 approvata in G2 (Giuliano): di notte la finestra Fucino residua è 27–131 s (mediana 45–65 s), insufficiente dopo 60 s di AI.</t>
        </is>
      </c>
    </row>
    <row r="65">
      <c r="A65" s="47" t="inlineStr">
        <is>
          <t>DR-49</t>
        </is>
      </c>
      <c r="B65" s="47" t="inlineStr">
        <is>
          <t>Derivato</t>
        </is>
      </c>
      <c r="C65" s="47" t="inlineStr">
        <is>
          <t>Il satellite deve avere una seconda via di comando e telemetria, indipendente dalla catena S (radio e banda diverse), utilizzabile in safe e in qualunque assetto.</t>
        </is>
      </c>
      <c r="D65" s="47" t="inlineStr">
        <is>
          <t>UHF 400,15–401 MHz, 9.600 bit/s, margine ≥ 3 dB a 10° (calcolato 4,8 dB con G/T stimata)</t>
        </is>
      </c>
      <c r="E65" s="47" t="inlineStr">
        <is>
          <t>Analisi (link budget), poi prova di compatibilità con la stazione (Fase C)</t>
        </is>
      </c>
      <c r="F65" s="47" t="inlineStr">
        <is>
          <t>TBC</t>
        </is>
      </c>
      <c r="G65" s="47" t="inlineStr">
        <is>
          <t>D-082 (A5)</t>
        </is>
      </c>
      <c r="H65" s="47" t="inlineStr">
        <is>
          <t>Giuliano</t>
        </is>
      </c>
      <c r="I65" s="47" t="inlineStr">
        <is>
          <t>G/T delle stazioni UHF stimata (yagi 14 dBic, 1.000 K): da verificare con le stazioni reali | Salita in VHF 148–150,05 MHz, discesa UHF 400,15–401 MHz (D-082, nota A5.5.7).</t>
        </is>
      </c>
    </row>
    <row r="66">
      <c r="A66" s="47" t="inlineStr">
        <is>
          <t>DR-50</t>
        </is>
      </c>
      <c r="B66" s="47" t="inlineStr">
        <is>
          <t>Derivato</t>
        </is>
      </c>
      <c r="C66" s="47" t="inlineStr">
        <is>
          <t>Il satellite deve poter ricevere comandi in ogni momento: ricevitore S acceso nelle finestre di contatto previste, ricevitore VHF sempre acceso.</t>
        </is>
      </c>
      <c r="D66" s="47" t="inlineStr">
        <is>
          <t>Finestre S: contatti previsti con margine (~2,5 h/giorno, TBC); VHF continuo</t>
        </is>
      </c>
      <c r="E66" s="47" t="inlineStr">
        <is>
          <t>Analisi (profilo di potenza A5.6), poi test operativo (Fase C)</t>
        </is>
      </c>
      <c r="F66" s="47" t="inlineStr">
        <is>
          <t>TBC</t>
        </is>
      </c>
      <c r="G66" s="47" t="inlineStr">
        <is>
          <t>D-084 (A5)</t>
        </is>
      </c>
      <c r="H66" s="47" t="inlineStr">
        <is>
          <t>Giuliano</t>
        </is>
      </c>
      <c r="I66" s="47" t="inlineStr">
        <is>
          <t>Il ricevitore VHF copre le emergenze fuori dai contatti S previsti</t>
        </is>
      </c>
    </row>
    <row r="67">
      <c r="A67" s="47" t="inlineStr">
        <is>
          <t>DR-51</t>
        </is>
      </c>
      <c r="B67" s="47" t="inlineStr">
        <is>
          <t>Derivato</t>
        </is>
      </c>
      <c r="C67" s="47" t="inlineStr">
        <is>
          <t>Se il chip AI non funziona, la scheda deve continuare a sommare i passaggi e a mettere in coda le immagini per lo scarico (modo degradato senza AI)</t>
        </is>
      </c>
      <c r="D67" s="47" t="inlineStr">
        <is>
          <t>Somma e scarico disponibili con chip AI spento o guasto</t>
        </is>
      </c>
      <c r="E67" s="47" t="inlineStr">
        <is>
          <t>Analisi, poi test di guasto sulla scheda (Fase C)</t>
        </is>
      </c>
      <c r="F67" s="47" t="inlineStr">
        <is>
          <t>TBC</t>
        </is>
      </c>
      <c r="G67" s="47" t="inlineStr">
        <is>
          <t>D-085 (A5.P3)</t>
        </is>
      </c>
      <c r="H67" s="47" t="inlineStr">
        <is>
          <t>Giuseppe</t>
        </is>
      </c>
      <c r="I67" s="47" t="n"/>
    </row>
    <row r="68" s="26">
      <c r="A68" s="47" t="inlineStr">
        <is>
          <t>DR-52</t>
        </is>
      </c>
      <c r="B68" s="47" t="inlineStr">
        <is>
          <t>Derivato</t>
        </is>
      </c>
      <c r="C68" s="47" t="inlineStr">
        <is>
          <t>La scheda deve avere una memoria veloce per l'elaborazione e una memoria di massa non volatile per contenuti fissi, coda di scarico e calibrazione; i contenuti fissi critici devono stare in due copie</t>
        </is>
      </c>
      <c r="D68" s="47" t="inlineStr">
        <is>
          <t>RAM ≥ ~2 GB (TBC); flash 32 GB (bisogno ~5 GB, ~10 GB con margine); 2 copie di mappe, DEM e pesi della rete</t>
        </is>
      </c>
      <c r="E68" s="47" t="inlineStr">
        <is>
          <t>Analisi, poi ispezione e test (Fase B/C)</t>
        </is>
      </c>
      <c r="F68" s="47" t="inlineStr">
        <is>
          <t>TBC</t>
        </is>
      </c>
      <c r="G68" s="47" t="inlineStr">
        <is>
          <t>D-086 (A5.P3)</t>
        </is>
      </c>
      <c r="H68" s="47" t="inlineStr">
        <is>
          <t>Giuseppe</t>
        </is>
      </c>
      <c r="I68" s="47" t="n"/>
    </row>
    <row r="69" s="26">
      <c r="A69" s="47" t="inlineStr">
        <is>
          <t>DR-53</t>
        </is>
      </c>
      <c r="B69" s="47" t="inlineStr">
        <is>
          <t>Derivato</t>
        </is>
      </c>
      <c r="C69" s="47" t="inlineStr">
        <is>
          <t>La nitidezza di sistema del canale pancromatico (ottica × rivelatore, senza mosso) alla frequenza di Nyquist deve restare sopra una soglia su tutto il campo del sensore diurno.</t>
        </is>
      </c>
      <c r="D69" s="47" t="inlineStr">
        <is>
          <t>MTF di sistema a Nyquist pan (145 cicli/mm) ≥ 0,12 (TBC); calcolato 0,17 centro / 0,15 bordo / 0,13 angolo</t>
        </is>
      </c>
      <c r="E69" s="47" t="inlineStr">
        <is>
          <t>Analisi ottica (Fase A/B), poi misura in laboratorio (Fase C)</t>
        </is>
      </c>
      <c r="F69" s="47" t="inlineStr">
        <is>
          <t>TBC</t>
        </is>
      </c>
      <c r="G69" s="47" t="inlineStr">
        <is>
          <t>D-088 (A5.P4)</t>
        </is>
      </c>
      <c r="H69" s="47" t="inlineStr">
        <is>
          <t>Giuseppe</t>
        </is>
      </c>
      <c r="I69" s="47" t="inlineStr">
        <is>
          <t>Sostituisce il valore ~0,28 di A2 (calcolato senza ombra centrale). Il mosso e l'assetto (Giuliano) si aggiungono in A5.P5. Soglia da confermare con l'AI (rilevamento danni a 1,5 m) | 30/10/2026 (A5.P5, p5_mtf_sistema.py): con costruzione, fuoco, diffusione, jitter, riallineamento TDI e mosso: di traverso 0,10 / 0,10 / 0,08 (centro, bordo, angolo); lungo traccia 0,067 / 0,062 / 0,055 senza rallentamento, 0,094 / 0,087 / 0,078 con D-096. Notte ~0,27. La soglia di DR-53 resta senza mosso.</t>
        </is>
      </c>
    </row>
    <row r="70" s="26">
      <c r="A70" s="47" t="inlineStr">
        <is>
          <t>DR-54</t>
        </is>
      </c>
      <c r="B70" s="47" t="inlineStr">
        <is>
          <t>Derivato</t>
        </is>
      </c>
      <c r="C70" s="47" t="inlineStr">
        <is>
          <t>I sensori diurno e notturno (commerciali) devono essere provati alla radiazione prima del volo e protetti dal blocco da particella singola (latch-up).</t>
        </is>
      </c>
      <c r="D70" s="47" t="inlineStr">
        <is>
          <t>Dose totale ≥ 2 volte la dose di missione (dose di 2 anni a 302 km da calcolare in Fase B, stima pochi krad); prova a protoni e ioni pesanti; limitatore di corrente con spegnimento e riavvio automatico</t>
        </is>
      </c>
      <c r="E70" s="47" t="inlineStr">
        <is>
          <t>Prova (Fase B), analisi di dose (Fase B)</t>
        </is>
      </c>
      <c r="F70" s="47" t="inlineStr">
        <is>
          <t>TBC</t>
        </is>
      </c>
      <c r="G70" s="47" t="inlineStr">
        <is>
          <t>D-093, D-094 (A5.P5)</t>
        </is>
      </c>
      <c r="H70" s="47" t="inlineStr">
        <is>
          <t>Giuseppe</t>
        </is>
      </c>
      <c r="I70" s="47" t="inlineStr">
        <is>
          <t>Prove pubblicate solo su sensori parenti (GSENSE2020BSI 100 krad protoni; Sony IMX219 250 krad gamma)</t>
        </is>
      </c>
    </row>
    <row r="71" s="26">
      <c r="A71" s="47" t="inlineStr">
        <is>
          <t>DR-55</t>
        </is>
      </c>
      <c r="B71" s="47" t="inlineStr">
        <is>
          <t>Derivato</t>
        </is>
      </c>
      <c r="C71" s="47" t="inlineStr">
        <is>
          <t>Durante le riprese notturne il sensore notturno deve stare abbastanza freddo da tenere la corrente di buio entro il valore di A3.</t>
        </is>
      </c>
      <c r="D71" s="47" t="inlineStr">
        <is>
          <t>Temperatura del sensore ≤ ~0 °C (TBC) durante le riprese notturne; buio ≤ 3 e-/s/pixel</t>
        </is>
      </c>
      <c r="E71" s="47" t="inlineStr">
        <is>
          <t>Analisi termica (A5.P7), poi prova in termo-vuoto (Fase C)</t>
        </is>
      </c>
      <c r="F71" s="47" t="inlineStr">
        <is>
          <t>TBC</t>
        </is>
      </c>
      <c r="G71" s="47" t="inlineStr">
        <is>
          <t>D-094, D-095 (A5.P5)</t>
        </is>
      </c>
      <c r="H71" s="47" t="inlineStr">
        <is>
          <t>Giuseppe</t>
        </is>
      </c>
      <c r="I71" s="47" t="inlineStr">
        <is>
          <t>0,4 e-/s a −20 °C (costruttore), raddoppio ogni ~6,5 °C (regola tipica, TBC): 3 e-/s a ~0 °C, ~28 e-/s a +20 °C. Dopo la radiazione il buio cresce (R-52) | 30/10/2026 (D-106/D-107): in ripresa notturna con rollio di 45° verso il lato del Sole il radiatore vede la Terra al 69%: il sensore sale di ~3 K in 10 min, partendo freddo dall'attesa; requisito rispettato</t>
        </is>
      </c>
    </row>
    <row r="72" s="26">
      <c r="A72" s="47" t="inlineStr">
        <is>
          <t>DR-56</t>
        </is>
      </c>
      <c r="B72" s="47" t="inlineStr">
        <is>
          <t>Derivato</t>
        </is>
      </c>
      <c r="C72" s="47" t="inlineStr">
        <is>
          <t>Durante ogni scena diurna l'assetto deve eseguire un beccheggio all'indietro a velocità costante pari a circa metà della velocità angolare della linea di vista (slow-down), insieme allo yaw steering.</t>
        </is>
      </c>
      <c r="D72" s="47" t="inlineStr">
        <is>
          <t>~0,70°/s a nadir (0,50°/s a 45° di traverso, 0,35°/s a 45° lungo traccia), per ~2,6 s a scena; velocità nota con l'errore di DR-18 e stabile tra i passaggi TDI (residuo dopo riallineamento ≤ 1/3 pixel, DR-26) (TBC)</t>
        </is>
      </c>
      <c r="E72" s="47" t="inlineStr">
        <is>
          <t>Simulazione GNC (A5.7 / Fase B)</t>
        </is>
      </c>
      <c r="F72" s="47" t="inlineStr">
        <is>
          <t>TBC</t>
        </is>
      </c>
      <c r="G72" s="47" t="inlineStr">
        <is>
          <t>D-096 (A5.P5)</t>
        </is>
      </c>
      <c r="H72" s="47" t="inlineStr">
        <is>
          <t>Entrambi</t>
        </is>
      </c>
      <c r="I72" s="47" t="inlineStr">
        <is>
          <t>Valori: metà delle velocità della FMC notturna di A3 (1,4 / 1,0 / 0,7°/s). Giuliano: profilo e fattibilità; Giuseppe: rapporto di rallentamento e frequenza delle immagini | 30/10/2026 (D-101, Proposta): fattibile con le ruote e il controllo di A5.3. Ripresa 4,2 s per scena (2,6 s di scena + 1,58 s tra le bande), rotazione 2,9° a nadir (2,1° a 45° di traverso, 1,5° lungo traccia); rampa nello slew; fattore di scala DR-58 | 30/10/2026 Giuseppe: durata 4,2 s e rotazione 2,9° accettate (D-101 Approvata); conti di frame e dati invariati</t>
        </is>
      </c>
    </row>
    <row r="73" s="26">
      <c r="A73" s="47" t="inlineStr">
        <is>
          <t>DR-57</t>
        </is>
      </c>
      <c r="B73" s="47" t="inlineStr">
        <is>
          <t>Derivato</t>
        </is>
      </c>
      <c r="C73" s="47" t="inlineStr">
        <is>
          <t>Durante le riprese il telescopio deve restare vicino alla sua temperatura di regolazione, e i materiali devono avere dilatazione bassa, perché il fuoco resti entro DR-03.</t>
        </is>
      </c>
      <c r="D73" s="47" t="inlineStr">
        <is>
          <t>±11 K dalla temperatura di regolazione (~15–20 °C, TBC); specchi ≤ ~0,1 ppm/K; distanziali tra gli specchi in Invar (~1,2 ppm/K)</t>
        </is>
      </c>
      <c r="E73" s="47" t="inlineStr">
        <is>
          <t>Analisi termo-ottica (Fase B), prova in termo-vuoto con misura del fuoco (Fase C)</t>
        </is>
      </c>
      <c r="F73" s="47" t="inlineStr">
        <is>
          <t>TBC</t>
        </is>
      </c>
      <c r="G73" s="47" t="inlineStr">
        <is>
          <t>D-098, D-100 (A5.P7)</t>
        </is>
      </c>
      <c r="H73" s="47" t="inlineStr">
        <is>
          <t>Giuseppe</t>
        </is>
      </c>
      <c r="I73" s="47" t="inlineStr">
        <is>
          <t>Metà della tolleranza di DR-03 (±18,5 µm) assegnata al termico, l'altra metà a montaggio e gravità. Sensibilità 1,7 µm/K (fuoco_termico.py)</t>
        </is>
      </c>
    </row>
    <row r="74" s="26">
      <c r="A74" s="47" t="inlineStr">
        <is>
          <t>DR-58</t>
        </is>
      </c>
      <c r="B74" s="47" t="inlineStr">
        <is>
          <t>Derivato</t>
        </is>
      </c>
      <c r="C74" s="47" t="inlineStr">
        <is>
          <t>Durante la ripresa diurna con rallentamento il fattore di scala del giroscopio sull'asse di beccheggio deve essere noto abbastanza da tenere l'errore di conoscenza tra la PAN e l'ultima banda entro DR-18; va calibrato in volo contro lo star tracker alla velocità del rallentamento.</t>
        </is>
      </c>
      <c r="D74" s="47" t="inlineStr">
        <is>
          <t>≤ ~80 ppm (con ARW 0,006°/√h; ≤ 133 ppm da solo) a ~0,77°/s inerziali (TBC)</t>
        </is>
      </c>
      <c r="E74" s="47" t="inlineStr">
        <is>
          <t>Analisi, poi calibrazione al commissioning e periodica</t>
        </is>
      </c>
      <c r="F74" s="47" t="inlineStr">
        <is>
          <t>TBC</t>
        </is>
      </c>
      <c r="G74" s="47" t="inlineStr">
        <is>
          <t>D-101 (A5.4.4)</t>
        </is>
      </c>
      <c r="H74" s="47" t="inlineStr">
        <is>
          <t>Giuliano</t>
        </is>
      </c>
      <c r="I74" s="47" t="inlineStr">
        <is>
          <t>Errore = fs·ω·T: 100 ppm × 0,0134 rad/s × 1,58 s = 2,1 µrad (~0,6 m). Ad assetto fisso bastavano ~2.500 ppm. CRH03: ±0,15–0,3% sulla temperatura, non linearità 0,02–0,05% (datasheet rev 4)</t>
        </is>
      </c>
    </row>
    <row r="75" s="26">
      <c r="A75" s="47" t="inlineStr">
        <is>
          <t>DR-59</t>
        </is>
      </c>
      <c r="B75" s="47" t="inlineStr">
        <is>
          <t>Derivato</t>
        </is>
      </c>
      <c r="C75" s="47" t="inlineStr">
        <is>
          <t>L'ora locale del nodo discendente deve restare entro una tolleranza attorno alle 10:30 per tutta la vita operativa.</t>
        </is>
      </c>
      <c r="D75" s="47" t="inlineStr">
        <is>
          <t>Tolleranza TBD (A6); con 96,8° GMAT dà 10:30 → 9:56 in 2 anni</t>
        </is>
      </c>
      <c r="E75" s="47" t="inlineStr">
        <is>
          <t>Analisi di missione (GMAT)</t>
        </is>
      </c>
      <c r="F75" s="47" t="inlineStr">
        <is>
          <t>TBD</t>
        </is>
      </c>
      <c r="G75" s="47" t="inlineStr">
        <is>
          <t>D-103 (A5.6.2)</t>
        </is>
      </c>
      <c r="H75" s="47" t="inlineStr">
        <is>
          <t>Giuliano</t>
        </is>
      </c>
      <c r="I75" s="47" t="inlineStr">
        <is>
          <t>Promemoria da D-103 (opzione C): la tolleranza non era mai stata scritta. Da fissare in A6 insieme all'illuminazione minima delle riprese diurne</t>
        </is>
      </c>
    </row>
    <row r="76" s="26">
      <c r="A76" s="47" t="inlineStr">
        <is>
          <t>DR-60</t>
        </is>
      </c>
      <c r="B76" s="47" t="inlineStr">
        <is>
          <t>Derivato</t>
        </is>
      </c>
      <c r="C76" s="47" t="inlineStr">
        <is>
          <t>Il motore elettrico deve restare spento durante l'eclisse e durante la trasmissione in banda S; il software di bordo deve gestire automaticamente il passaggio tra spinta e contatto.</t>
        </is>
      </c>
      <c r="D76" s="47" t="inlineStr">
        <is>
          <t>Spinta solo in luce; 0 W di motore con TX S acceso</t>
        </is>
      </c>
      <c r="E76" s="47" t="inlineStr">
        <is>
          <t>Analisi (bilancio orbita per orbita), poi prova del software</t>
        </is>
      </c>
      <c r="F76" s="47" t="inlineStr">
        <is>
          <t>TBC</t>
        </is>
      </c>
      <c r="G76" s="47" t="inlineStr">
        <is>
          <t>D-105 (A5.6.4)</t>
        </is>
      </c>
      <c r="H76" s="47" t="inlineStr">
        <is>
          <t>Giuliano</t>
        </is>
      </c>
      <c r="I76" s="47" t="inlineStr">
        <is>
          <t>Eccezione da valutare: discesa iniziale (D-021) se la sola luce non basta | 30/10/2026 (A5.6.7): regola applicata nella simulazione dello stato di carica</t>
        </is>
      </c>
    </row>
    <row r="77" s="26">
      <c r="A77" s="47" t="inlineStr">
        <is>
          <t>DR-61</t>
        </is>
      </c>
      <c r="B77" s="47" t="inlineStr">
        <is>
          <t>Derivato</t>
        </is>
      </c>
      <c r="C77" s="47" t="inlineStr">
        <is>
          <t>Fuori dalle riprese (attesa e spinta) l'ADCS deve tenere un rollio fisso attorno alla velocità verso il lato del Sole, aggiornato con le stagioni, e scaricare con i magnetorquer il momento del gradiente di gravità che ne deriva.</t>
        </is>
      </c>
      <c r="D77" s="47" t="inlineStr">
        <is>
          <t>Rollio 31–52° (TBC, ottimo stagionale); coppia ~1,8·10⁻⁶ N·m a 40°</t>
        </is>
      </c>
      <c r="E77" s="47" t="inlineStr">
        <is>
          <t>Analisi (A5.6.5), poi simulazione ADCS 3-assi (Fase B)</t>
        </is>
      </c>
      <c r="F77" s="47" t="inlineStr">
        <is>
          <t>TBC</t>
        </is>
      </c>
      <c r="G77" s="47" t="inlineStr">
        <is>
          <t>D-106 (A5.6.5)</t>
        </is>
      </c>
      <c r="H77" s="47" t="inlineStr">
        <is>
          <t>Giuliano</t>
        </is>
      </c>
      <c r="I77" s="47" t="inlineStr">
        <is>
          <t>Errore di rollio ammesso da fissare in A5.6.6 (perdita di potenza ~1 − cos dell'errore)</t>
        </is>
      </c>
    </row>
    <row r="78" s="26">
      <c r="A78" s="47" t="inlineStr">
        <is>
          <t>DR-62</t>
        </is>
      </c>
      <c r="B78" s="47" t="inlineStr">
        <is>
          <t>Derivato</t>
        </is>
      </c>
      <c r="C78" s="47" t="inlineStr">
        <is>
          <t>L'insieme dei pannelli deve fornire a fine vita, alla temperatura di lavoro, la potenza necessaria per il giorno di routine con Sole medio.</t>
        </is>
      </c>
      <c r="D78" s="47" t="inlineStr">
        <is>
          <t>≥ 6 × 21,6 W = 130 W a Sole perpendicolare (fine vita, 70 °C); ≥ 74,5 W medi in luce in assetto D-106 (TBC)</t>
        </is>
      </c>
      <c r="E78" s="47" t="inlineStr">
        <is>
          <t>Analisi, poi misura dei pannelli (Fase C)</t>
        </is>
      </c>
      <c r="F78" s="47" t="inlineStr">
        <is>
          <t>TBC</t>
        </is>
      </c>
      <c r="G78" s="47" t="inlineStr">
        <is>
          <t>D-108 (A5.6.6)</t>
        </is>
      </c>
      <c r="H78" s="47" t="inlineStr">
        <is>
          <t>Giuliano</t>
        </is>
      </c>
      <c r="I78" s="47" t="inlineStr">
        <is>
          <t>Da rivedere con la data di lancio (Sole alto: 8 pannelli) | 30/10/2026 (D-107): con +1 W di riscaldatori la spinta sostenibile scende a 4,9 h/giorno, sopra le 4,2 necessarie | 30/10/2026 (A5.6.7): verificato con la simulazione dello stato di carica (routine: avanzo 136 Wh/giorno nel giorno peggiore)</t>
        </is>
      </c>
    </row>
    <row r="79" s="26">
      <c r="A79" s="47" t="inlineStr">
        <is>
          <t>DR-63</t>
        </is>
      </c>
      <c r="B79" s="47" t="inlineStr">
        <is>
          <t>Derivato</t>
        </is>
      </c>
      <c r="C79" s="47" t="inlineStr">
        <is>
          <t>La batteria deve coprire il caso peggiore al buio senza superare la profondità di scarica ammessa, anche con una stringa guasta, per tutta la vita.</t>
        </is>
      </c>
      <c r="D79" s="47" t="inlineStr">
        <is>
          <t>≥ 112 Wh nominali (4S3P); scarica ≤ 25% a fine vita, ≤ 35% con una stringa guasta</t>
        </is>
      </c>
      <c r="E79" s="47" t="inlineStr">
        <is>
          <t>Analisi (A5.6.6–A5.6.7), poi prova di cicli (Fase C)</t>
        </is>
      </c>
      <c r="F79" s="47" t="inlineStr">
        <is>
          <t>TBC</t>
        </is>
      </c>
      <c r="G79" s="47" t="inlineStr">
        <is>
          <t>D-109, D-111 (A5.6.6–A5.6.7)</t>
        </is>
      </c>
      <c r="H79" s="47" t="inlineStr">
        <is>
          <t>Giuliano</t>
        </is>
      </c>
      <c r="I79" s="47" t="inlineStr">
        <is>
          <t>Caso peggiore: orbita con ripresa notturna e contatto al buio, 16,2 Wh ai carichi con margini (A5.6.3) | 30/10/2026 (D-107): 21% a fine vita e 31% con una stringa guasta, appena sopra il 30% di questo requisito: valore da riconfermare con la simulazione di A5.6.7 (Giuliano) | 30/10/2026 (D-111): valore riscritto da ≤ 20%/≤ 30% a ≤ 25%/≤ 35%; simulazione A5.6.7: 20,4% e 30,7%</t>
        </is>
      </c>
    </row>
    <row r="80" s="26">
      <c r="A80" s="47" t="inlineStr">
        <is>
          <t>DR-64</t>
        </is>
      </c>
      <c r="B80" s="47" t="inlineStr">
        <is>
          <t>Derivato</t>
        </is>
      </c>
      <c r="C80" s="47" t="inlineStr">
        <is>
          <t>La piattaforma deve mantenere l'interno del satellite in un intervallo di temperatura compatibile con batteria e telescopio in tutti i modi (operazioni, spinta, safe).</t>
        </is>
      </c>
      <c r="D80" s="47" t="inlineStr">
        <is>
          <t>~15–25 °C (TBC) in operazioni (D-116, prima 15–20 °C); limiti dei componenti dai datasheet (batteria, motore, ruote, computer)</t>
        </is>
      </c>
      <c r="E80" s="47" t="inlineStr">
        <is>
          <t>Analisi termica (A5/Fase B), prova in termo-vuoto (Fase C)</t>
        </is>
      </c>
      <c r="F80" s="47" t="inlineStr">
        <is>
          <t>TBC</t>
        </is>
      </c>
      <c r="G80" s="47" t="inlineStr">
        <is>
          <t>D-110, D-116</t>
        </is>
      </c>
      <c r="H80" s="47" t="inlineStr">
        <is>
          <t>Giuseppe</t>
        </is>
      </c>
      <c r="I80" s="47" t="inlineStr">
        <is>
          <t>Valore proposto da Giuliano il 30/10/2026; i riscaldatori del telescopio (D-100) sono calcolati attorno a questo valore | 30/10/2026 (D-116, Proposta): limite alto portato a 25 °C per ridurre area del radiatore e riscaldatori; batteria in carica fino a +45 °C, telescopio regolato a ~20 °C ± 11 K (DR-57)</t>
        </is>
      </c>
    </row>
    <row r="81" s="26">
      <c r="A81" s="47" t="inlineStr">
        <is>
          <t>DR-65</t>
        </is>
      </c>
      <c r="B81" s="47" t="inlineStr">
        <is>
          <t>Derivato</t>
        </is>
      </c>
      <c r="C81" s="47" t="inlineStr">
        <is>
          <t>Il software di bordo deve accendere il motore solo con stato di carica della batteria ≥ 90% e spegnerlo sotto l'80%, recuperando la spinta mancata nelle orbite successive.</t>
        </is>
      </c>
      <c r="D81" s="47" t="inlineStr">
        <is>
          <t>Accensione ≥ 90%, spegnimento &lt; 80% (TBC)</t>
        </is>
      </c>
      <c r="E81" s="47" t="inlineStr">
        <is>
          <t>Simulazione (A5.6.7), poi prova del software (Fase C)</t>
        </is>
      </c>
      <c r="F81" s="47" t="inlineStr">
        <is>
          <t>TBC</t>
        </is>
      </c>
      <c r="G81" s="47" t="inlineStr">
        <is>
          <t>D-112 (A5.6.7)</t>
        </is>
      </c>
      <c r="H81" s="47" t="inlineStr">
        <is>
          <t>Giuliano</t>
        </is>
      </c>
      <c r="I81" s="47" t="inlineStr">
        <is>
          <t>Sole alto: spinta ridotta a ~5,6 h/giorno con SoC minimo 73%</t>
        </is>
      </c>
    </row>
    <row r="82" s="26">
      <c r="A82" s="47" t="inlineStr">
        <is>
          <t>DR-66</t>
        </is>
      </c>
      <c r="B82" s="47" t="inlineStr">
        <is>
          <t>Derivato</t>
        </is>
      </c>
      <c r="C82" s="47" t="inlineStr">
        <is>
          <t>La gestione della potenza deve avere livelli di protezione della batteria a soglie di stato di carica (stop alle riprese, poi safe) definiti nell'analisi FDIR.</t>
        </is>
      </c>
      <c r="D82" s="47" t="inlineStr">
        <is>
          <t>Soglie TBD (indicative: 70% stop riprese, 50% safe)</t>
        </is>
      </c>
      <c r="E82" s="47" t="inlineStr">
        <is>
          <t>Analisi FDIR (Fase C)</t>
        </is>
      </c>
      <c r="F82" s="47" t="inlineStr">
        <is>
          <t>TBD</t>
        </is>
      </c>
      <c r="G82" s="47" t="inlineStr">
        <is>
          <t>D-112 (A5.6.7)</t>
        </is>
      </c>
      <c r="H82" s="47" t="inlineStr">
        <is>
          <t>Giuliano</t>
        </is>
      </c>
      <c r="I82" s="47" t="inlineStr">
        <is>
          <t>Requisito per la Fase C (opzione C di D-112)</t>
        </is>
      </c>
    </row>
  </sheetData>
  <autoFilter ref="A1:I200"/>
  <conditionalFormatting sqref="A2:I200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200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200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200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TMA. 26/10/2026: apertura 120 mm (EarthNext ~83 mm) &gt; 113 mm di mezza sezione 16U: il telescopio occupa probabilmente la sezione intera vicino al primario; stima di volume e posizione in A5 payload | 30/10/2026 (A5.P2): un TMA fuori asse da 12 cm scalato da EarthNext occuperebbe ~12–14U: scelto TMA in asse (D-076, ~14 × 14 × 20 cm, ~4U).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In mitigazione</t>
        </is>
      </c>
      <c r="L4" s="47" t="inlineStr">
        <is>
          <t>Fase 0</t>
        </is>
      </c>
      <c r="M4" s="47" t="inlineStr">
        <is>
          <t>A4 (D-060…D-065): riferimento VIIRS + archivio PULSE, doppio controllo nuvole (bordo + MTG), fondo lunare sottratto, soglia 70%, etichetta "non confermabile". Rischi residui: R-34, R-35, R-36</t>
        </is>
      </c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In mitigazione</t>
        </is>
      </c>
      <c r="L7" s="47" t="inlineStr">
        <is>
          <t>Fase 0</t>
        </is>
      </c>
      <c r="M7" s="47" t="inlineStr">
        <is>
          <t>A3: deriva &lt; 0,015°/s per scatto, inseguimento 0,36 s (DR-10, DR-11). A5.3 c): simulazione 1-asse, F2 rispetta DR-10 con banda 1 rad/s (D-044, D-046); F1 a 7 mN·m satura la ruota di prova con inerzia massima. A5.3 d): disturbi fino a 10⁻⁴ N·m non cambiano il mosso; il rischio vero è la saturazione in spinta (R-26). A5.3 g): DR-10 e DR-11 verificati in Fase A; da riconfermare con la 3-assi in Fase B. A5.4.3: DR-08 chiuso con la simulazione (assestamento ≤ 2,6 s dopo il commissioning, D-057)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In mitigazione</t>
        </is>
      </c>
      <c r="L8" s="47" t="inlineStr">
        <is>
          <t>Fase 0</t>
        </is>
      </c>
      <c r="M8" s="47" t="inlineStr">
        <is>
          <t xml:space="preserve"> | 30/10/2026 (A5.6.3–A5.6.4): payload ~1% dell'energia giornaliera; dominano base sempre accesa (~58%) e spinta (36–51%). D-105 separa spinta, eclisse e trasmissione: picco ~86 W con margini | 30/10/2026 (A5.6.7): simulazione dello stato di carica: routine ed emergenza con SoC ≥ 79,6% e avanzo ≥ 119 Wh/giorno; spinta senza scaricare la batteria | 30/10/2026 (A5.6.8): passa a In mitigazione: spinta separata da eclisse e trasmissioni (D-105), 6 ali con rollio fisso (D-106, D-108), batteria 4S3P (D-109), regola 90/80% (D-112); resta il caso Sole alto (R-56)</t>
        </is>
      </c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 30/10/2026 (D-068): con antenne quasi omnidirezionali e assetto di spinta a nadir (L1), i contatti TT&amp;C non fermano la spinta; resta il conflitto solo se si usa il puntamento della stazione (banda X). 30/10/2026 (D-074): con divieto da 60–90 min prima delle riprese restano &gt; ~20 h/giorno per la spinta; il vincolo vero è la potenza in eclissi (A5.6). | 30/10/2026 (D-105): spinta solo in luce e ferma durante la trasmissione S; restano ~14,4 h di luce/giorno meno contatti e divieti delle riprese, contro 4,2–7,8 h necessarie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Correzione a bordo dello sfasamento con i dati del giroscopio (D-040); deriva ≤ 0,001°/s (DR-05); correlazione tra le bande come affinamento in Fase B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A6. A5.3 a): il riallineamento a terra è scartato (contraddice D-007/MR-10). A5.4: mitigazione aggiornata, riallineamento geometrico con DEM (D-056); con la sola traslazione il rilievo oltre ~50 m dà bordi colorati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In mitigazione</t>
        </is>
      </c>
      <c r="L17" s="47" t="inlineStr">
        <is>
          <t>A2</t>
        </is>
      </c>
      <c r="M17" s="47" t="inlineStr">
        <is>
          <t>A3: luna piena ~7 nW/cm²/sr, come un paese illuminato. Probabilità da valutare in A6. A4.4 (D-063): fondo lunare reale all'ora del passaggio ≤ 4,5 nW (&gt; 2,5 nW ~2 notti/mese); misurato e sottratto nell'immagine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inlineStr">
        <is>
          <t>30/10/2026 (D-088): con l'ombra del telescopio RC l'MTF di sistema a Nyquist è 0,13–0,17 (DR-53): aliasing ancora più basso, immagine più morbida.</t>
        </is>
      </c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A5.3 a): stessa funzione di correzione usata di giorno (D-040), requisiti DR-17 e DR-18. Probabilità da valutare in A6. A5.3 f): con GY2 errore relativo in 0,3 s ~1,0 µrad (soglia 5,2); con MEMS tattico 24 µrad. A5.4: il riallineamento degli scatti usa il modello geometrico con orbita, assetto e DEM (D-056), indipendente dal contenuto dell'immagine. A4: con il riallineamento geometrico di D-056 (Proposta di Giuliano) il riallineamento non dipende più dalle luci della scena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 | 30/10/2026 (D-088): il telescopio RC tollera ±37 µm (errore d'onda medio ~35 nm); oltre serve il fuoco regolabile (R-49). | 30/10/2026 (D-099): telescopio isolato, +1–2 K in 30 min se il motore scalda l'interno di 5 K; N = 30 min (TBC).</t>
        </is>
      </c>
    </row>
    <row r="26" ht="15" customHeight="1" s="26">
      <c r="A26" s="47" t="inlineStr">
        <is>
          <t>R-25</t>
        </is>
      </c>
      <c r="B26" s="47" t="inlineStr">
        <is>
          <t>Errore del giroscopio o della sincronizzazione immagine–assetto superiore al previsto</t>
        </is>
      </c>
      <c r="C26" s="47" t="inlineStr">
        <is>
          <t>Correzione a bordo inefficace: bordi colorati, TDI diurno allargato, shift-and-add sfocato</t>
        </is>
      </c>
      <c r="D26" s="47" t="n"/>
      <c r="E26" s="47" t="inlineStr">
        <is>
          <t>Media</t>
        </is>
      </c>
      <c r="F26" s="50">
        <f>IF(OR(D26="",E26=""),"",MATCH(D26,{"Bassa","Media","Alta"},0)*MATCH(E26,{"Bassa","Media","Alta"},0))</f>
        <v/>
      </c>
      <c r="G26" s="47" t="inlineStr">
        <is>
          <t>Requisiti DR-17 e DR-18; scelta del giroscopio in A5.3 f); correlazione tra le bande come riserva (Fase B)</t>
        </is>
      </c>
      <c r="H26" s="47" t="inlineStr">
        <is>
          <t>A5</t>
        </is>
      </c>
      <c r="I26" s="47" t="n"/>
      <c r="J26" s="47" t="inlineStr">
        <is>
          <t>Giuliano</t>
        </is>
      </c>
      <c r="K26" s="47" t="inlineStr">
        <is>
          <t>Aperto</t>
        </is>
      </c>
      <c r="L26" s="47" t="inlineStr">
        <is>
          <t>A5</t>
        </is>
      </c>
      <c r="M26" s="47" t="inlineStr">
        <is>
          <t>Nato in A5.3 a) (D-040). Probabilità da valutare in A6. A5.4: il modello geometrico (D-056) aggiunge orbita e DEM agli errori da tenere sotto controllo (DR-26)</t>
        </is>
      </c>
    </row>
    <row r="27" ht="15" customHeight="1" s="26">
      <c r="A27" s="47" t="inlineStr">
        <is>
          <t>R-26</t>
        </is>
      </c>
      <c r="B27" s="47" t="inlineStr">
        <is>
          <t>Baricentro fuori dai limiti di DR-21 (layout, tolleranze, spostamento con il consumo dello iodio)</t>
        </is>
      </c>
      <c r="C27" s="47" t="inlineStr">
        <is>
          <t>Coppia da spinta e aerodinamica più alte: ruote sature durante la spinta, spinte interrotte, mantenimento della quota più difficile</t>
        </is>
      </c>
      <c r="D27" s="47" t="n"/>
      <c r="E27" s="47" t="inlineStr">
        <is>
          <t>Alta</t>
        </is>
      </c>
      <c r="F27" s="50">
        <f>IF(OR(D27="",E27=""),"",MATCH(D27,{"Bassa","Media","Alta"},0)*MATCH(E27,{"Bassa","Media","Alta"},0))</f>
        <v/>
      </c>
      <c r="G27" s="47" t="inlineStr">
        <is>
          <t>Bilanciamento nel layout (A5.7), serbatoio vicino al baricentro, zavorra, misura del baricentro a terra; magnetorquer con margine (A5.3 e); in volo spinta a intervalli con desaturazioni</t>
        </is>
      </c>
      <c r="H27" s="47" t="inlineStr">
        <is>
          <t>A5</t>
        </is>
      </c>
      <c r="I27" s="47" t="n"/>
      <c r="J27" s="47" t="inlineStr">
        <is>
          <t>Entrambi</t>
        </is>
      </c>
      <c r="K27" s="47" t="inlineStr">
        <is>
          <t>Aperto</t>
        </is>
      </c>
      <c r="L27" s="47" t="inlineStr">
        <is>
          <t>A5</t>
        </is>
      </c>
      <c r="M27" s="47" t="inlineStr">
        <is>
          <t>Nato in A5.3 d) (D-047). Con il baricentro al limite del deployer (90 mm) la coppia di spinta è ~10⁻⁴ N·m. Probabilità da valutare in A6. A5.3 e): con baricentro a 20 mm e magnetorquer da 2,5 A·m² il momento max è 0,116 N·m·s (entro W3 nominale, non con una ruota guasta)</t>
        </is>
      </c>
    </row>
    <row r="28" ht="15" customHeight="1" s="26">
      <c r="A28" s="47" t="inlineStr">
        <is>
          <t>R-27</t>
        </is>
      </c>
      <c r="B28" s="47" t="inlineStr">
        <is>
          <t>Giroscopio ad alte prestazioni (classe CRH03) senza eredità spaziale o non qualificabile (radiazioni, vibrazioni, termico)</t>
        </is>
      </c>
      <c r="C28" s="47" t="inlineStr">
        <is>
          <t>Nessuna unità di catalogo con ARW ≤ 0,01°/√h: correzione a bordo di bande, TDI e shift-and-add degradata (D-040, R-21)</t>
        </is>
      </c>
      <c r="D28" s="47" t="n"/>
      <c r="E28" s="47" t="inlineStr">
        <is>
          <t>Alta</t>
        </is>
      </c>
      <c r="F28" s="50">
        <f>IF(OR(D28="",E28=""),"",MATCH(D28,{"Bassa","Media","Alta"},0)*MATCH(E28,{"Bassa","Media","Alta"},0))</f>
        <v/>
      </c>
      <c r="G28" s="47" t="inlineStr">
        <is>
          <t>Indagine sulle unità qualificate di questa classe; alternativa GY3 (IMU a fibra ottica, al limite di DR-18); riserva: correlazione tra le bande (D-040 opzione D) dove c'è tessitura</t>
        </is>
      </c>
      <c r="H28" s="47" t="inlineStr">
        <is>
          <t>Fase B</t>
        </is>
      </c>
      <c r="I28" s="47" t="n"/>
      <c r="J28" s="47" t="inlineStr">
        <is>
          <t>Giuliano</t>
        </is>
      </c>
      <c r="K28" s="47" t="inlineStr">
        <is>
          <t>Aperto</t>
        </is>
      </c>
      <c r="L28" s="47" t="inlineStr">
        <is>
          <t>A5</t>
        </is>
      </c>
      <c r="M28" s="47" t="inlineStr">
        <is>
          <t>Nato in A5.3 f) (D-050). Probabilità da valutare in A6</t>
        </is>
      </c>
    </row>
    <row r="29" ht="15" customHeight="1" s="26">
      <c r="A29" s="47" t="inlineStr">
        <is>
          <t>R-28</t>
        </is>
      </c>
      <c r="B29" s="47" t="inlineStr">
        <is>
          <t>Microvibrazioni delle ruote di reazione oltre il limite di DR-02</t>
        </is>
      </c>
      <c r="C29" s="47" t="inlineStr">
        <is>
          <t>Passaggi del TDI disallineati, perdita di nitidezza oltre il 5,5% a Nyquist</t>
        </is>
      </c>
      <c r="D29" s="47" t="n"/>
      <c r="E29" s="47" t="inlineStr">
        <is>
          <t>Media</t>
        </is>
      </c>
      <c r="F29" s="50">
        <f>IF(OR(D29="",E29=""),"",MATCH(D29,{"Bassa","Media","Alta"},0)*MATCH(E29,{"Bassa","Media","Alta"},0))</f>
        <v/>
      </c>
      <c r="G29" s="47" t="inlineStr">
        <is>
          <t>Dati di sbilanciamento dal costruttore; isolatori; velocità delle ruote lontane dalle risonanze della struttura; test di microvibrazione in Fase B</t>
        </is>
      </c>
      <c r="H29" s="47" t="inlineStr">
        <is>
          <t>Fase B</t>
        </is>
      </c>
      <c r="I29" s="47" t="n"/>
      <c r="J29" s="47" t="inlineStr">
        <is>
          <t>Giuliano</t>
        </is>
      </c>
      <c r="K29" s="47" t="inlineStr">
        <is>
          <t>Aperto</t>
        </is>
      </c>
      <c r="L29" s="47" t="inlineStr">
        <is>
          <t>A5</t>
        </is>
      </c>
      <c r="M29" s="47" t="inlineStr">
        <is>
          <t>Nato in A5.3 g) (D-053). Probabilità da valutare in A6. A5.4.5: stima a corpo rigido 0,03–0,25 µrad con ruote ben bilanciate; requisito di bilanciamento e posizione delle ruote (DR-30, D-059); il rischio vero sono le risonanze (Q oltre ~4–20)</t>
        </is>
      </c>
    </row>
    <row r="30" ht="15" customHeight="1" s="26">
      <c r="A30" s="47" t="inlineStr">
        <is>
          <t>R-29</t>
        </is>
      </c>
      <c r="B30" s="47" t="inlineStr">
        <is>
          <t>Riallineamento geometrico a bordo (orbita, assetto, DEM) troppo pesante per la scheda in tempo reale, o DEM di bordo poco preciso</t>
        </is>
      </c>
      <c r="C30" s="47" t="inlineStr">
        <is>
          <t>Bande con bordi colorati, TDI diurno allargato e somma notturna sfocata in collina e montagna, proprio dove avvengono molti terremoti</t>
        </is>
      </c>
      <c r="D30" s="47" t="inlineStr">
        <is>
          <t>Media</t>
        </is>
      </c>
      <c r="E30" s="47" t="inlineStr">
        <is>
          <t>Media</t>
        </is>
      </c>
      <c r="F30" s="50">
        <f>IF(OR(D30="",E30=""),"",MATCH(D30,{"Bassa","Media","Alta"},0)*MATCH(E30,{"Bassa","Media","Alta"},0))</f>
        <v/>
      </c>
      <c r="G30" s="47" t="inlineStr">
        <is>
          <t>Modello geometrico su griglia rada con interpolazione (pochi punti calcolati per immagine); stessa funzione di ortorettifica di MR-10; DEM con errore verticale ≤ 20 m (DR-26); come riserva, raffica notturna più corta vicino al passaggio</t>
        </is>
      </c>
      <c r="H30" s="47" t="inlineStr">
        <is>
          <t>Fase B</t>
        </is>
      </c>
      <c r="I30" s="47" t="n"/>
      <c r="J30" s="47" t="inlineStr">
        <is>
          <t>Entrambi</t>
        </is>
      </c>
      <c r="K30" s="47" t="inlineStr">
        <is>
          <t>Aperto</t>
        </is>
      </c>
      <c r="L30" s="47" t="inlineStr">
        <is>
          <t>A5</t>
        </is>
      </c>
      <c r="M30" s="47" t="inlineStr">
        <is>
          <t>Nato in A5.4 (D-056). Carico da valutare da Giuseppe sulla scheda (DR-13). Probabilità da valutare in A6</t>
        </is>
      </c>
    </row>
    <row r="31" ht="15" customHeight="1" s="26">
      <c r="A31" s="47" t="inlineStr">
        <is>
          <t>R-30</t>
        </is>
      </c>
      <c r="B31" s="47" t="inlineStr">
        <is>
          <t>Riduzione notturna dell'illuminazione pubblica (30–50% dopo le 23 o mezzanotte in molti comuni) con passaggi estivi verso le 23 ora legale</t>
        </is>
      </c>
      <c r="C31" s="47" t="inlineStr">
        <is>
          <t>Falso calo di luce: falsi blackout parziali</t>
        </is>
      </c>
      <c r="D31" s="47" t="n"/>
      <c r="E31" s="47" t="inlineStr">
        <is>
          <t>Media</t>
        </is>
      </c>
      <c r="F31" s="50">
        <f>IF(OR(D31="",E31=""),"",MATCH(D31,{"Bassa","Media","Alta"},0)*MATCH(E31,{"Bassa","Media","Alta"},0))</f>
        <v/>
      </c>
      <c r="G31" s="47" t="inlineStr">
        <is>
          <t>Immagine di riferimento alla stessa ora e stagione; soglia di calo oltre la riduzione di flusso (A4.2, A4.5)</t>
        </is>
      </c>
      <c r="H31" s="47" t="inlineStr">
        <is>
          <t>A4</t>
        </is>
      </c>
      <c r="I31" s="47" t="n"/>
      <c r="J31" s="47" t="inlineStr">
        <is>
          <t>Giuseppe</t>
        </is>
      </c>
      <c r="K31" s="47" t="inlineStr">
        <is>
          <t>Aperto</t>
        </is>
      </c>
      <c r="L31" s="47" t="inlineStr">
        <is>
          <t>A4</t>
        </is>
      </c>
      <c r="M31" s="47" t="inlineStr">
        <is>
          <t>Nato in A4.1 (D-060). Probabilità da valutare in A6</t>
        </is>
      </c>
    </row>
    <row r="32" ht="15" customHeight="1" s="26">
      <c r="A32" s="47" t="inlineStr">
        <is>
          <t>R-31</t>
        </is>
      </c>
      <c r="B32" s="47" t="inlineStr">
        <is>
          <t>Blackout vicino a un incendio non confermabile (il fumo abbassa e sfoca le luci come una nuvola sottile)</t>
        </is>
      </c>
      <c r="C32" s="47" t="inlineStr">
        <is>
          <t>Blackout segnalato solo come "non confermabile" vicino agli incendi</t>
        </is>
      </c>
      <c r="D32" s="47" t="inlineStr">
        <is>
          <t>Bassa</t>
        </is>
      </c>
      <c r="E32" s="47" t="inlineStr">
        <is>
          <t>Bassa</t>
        </is>
      </c>
      <c r="F32" s="50">
        <f>IF(OR(D32="",E32=""),"",MATCH(D32,{"Bassa","Media","Alta"},0)*MATCH(E32,{"Bassa","Media","Alta"},0))</f>
        <v/>
      </c>
      <c r="G32" s="47" t="inlineStr">
        <is>
          <t>Accettato: l'allarme incendio arriva comunque; conferma al passaggio successivo</t>
        </is>
      </c>
      <c r="H32" s="47" t="inlineStr">
        <is>
          <t>A4</t>
        </is>
      </c>
      <c r="I32" s="47" t="n"/>
      <c r="J32" s="47" t="inlineStr">
        <is>
          <t>Giuseppe</t>
        </is>
      </c>
      <c r="K32" s="47" t="inlineStr">
        <is>
          <t>Accettato</t>
        </is>
      </c>
      <c r="L32" s="47" t="inlineStr">
        <is>
          <t>A4</t>
        </is>
      </c>
      <c r="M32" s="47" t="inlineStr">
        <is>
          <t>Nato in A4.1 (D-060)</t>
        </is>
      </c>
    </row>
    <row r="33" ht="15" customHeight="1" s="26">
      <c r="A33" s="47" t="inlineStr">
        <is>
          <t>R-32</t>
        </is>
      </c>
      <c r="B33" s="47" t="inlineStr">
        <is>
          <t>Il riferimento VIIRS è grossolano (~500 m) e ripreso a un'ora diversa (~01:30 contro ~22:00)</t>
        </is>
      </c>
      <c r="C33" s="47" t="inlineStr">
        <is>
          <t>Blackout piccoli o parziali non confermati dove manca un'immagine PULSE</t>
        </is>
      </c>
      <c r="D33" s="47" t="n"/>
      <c r="E33" s="47" t="inlineStr">
        <is>
          <t>Media</t>
        </is>
      </c>
      <c r="F33" s="50">
        <f>IF(OR(D33="",E33=""),"",MATCH(D33,{"Bassa","Media","Alta"},0)*MATCH(E33,{"Bassa","Media","Alta"},0))</f>
        <v/>
      </c>
      <c r="G33" s="47" t="inlineStr">
        <is>
          <t>Archivio PULSE su città e zone a rischio; fattore di correzione orario stimato città per città dalle immagini PULSE di notti normali</t>
        </is>
      </c>
      <c r="H33" s="47" t="inlineStr">
        <is>
          <t>A4</t>
        </is>
      </c>
      <c r="I33" s="47" t="n"/>
      <c r="J33" s="47" t="inlineStr">
        <is>
          <t>Giuseppe</t>
        </is>
      </c>
      <c r="K33" s="47" t="inlineStr">
        <is>
          <t>Aperto</t>
        </is>
      </c>
      <c r="L33" s="47" t="inlineStr">
        <is>
          <t>A4</t>
        </is>
      </c>
      <c r="M33" s="47" t="inlineStr">
        <is>
          <t>Nato in A4.2 (D-061). Probabilità da valutare in A6</t>
        </is>
      </c>
    </row>
    <row r="34" ht="15" customHeight="1" s="26">
      <c r="A34" s="47" t="inlineStr">
        <is>
          <t>R-33</t>
        </is>
      </c>
      <c r="B34" s="47" t="inlineStr">
        <is>
          <t>Continuità dei prodotti VIIRS Black Marble (satelliti NOAA/NASA, finanziamento dei prodotti)</t>
        </is>
      </c>
      <c r="C34" s="47" t="inlineStr">
        <is>
          <t>Riferimento di base non aggiornato</t>
        </is>
      </c>
      <c r="D34" s="47" t="n"/>
      <c r="E34" s="47" t="inlineStr">
        <is>
          <t>Bassa</t>
        </is>
      </c>
      <c r="F34" s="50">
        <f>IF(OR(D34="",E34=""),"",MATCH(D34,{"Bassa","Media","Alta"},0)*MATCH(E34,{"Bassa","Media","Alta"},0))</f>
        <v/>
      </c>
      <c r="G34" s="47" t="inlineStr">
        <is>
          <t>Le mappe già scaricate restano valide come riferimento; l'archivio PULSE cresce nel tempo</t>
        </is>
      </c>
      <c r="H34" s="47" t="inlineStr">
        <is>
          <t>A6</t>
        </is>
      </c>
      <c r="I34" s="47" t="n"/>
      <c r="J34" s="47" t="inlineStr">
        <is>
          <t>Giuseppe</t>
        </is>
      </c>
      <c r="K34" s="47" t="inlineStr">
        <is>
          <t>Aperto</t>
        </is>
      </c>
      <c r="L34" s="47" t="inlineStr">
        <is>
          <t>A4</t>
        </is>
      </c>
      <c r="M34" s="47" t="inlineStr">
        <is>
          <t>Nato in A4.2 (D-061). Probabilità da valutare in A6</t>
        </is>
      </c>
    </row>
    <row r="35" ht="15" customHeight="1" s="26">
      <c r="A35" s="47" t="inlineStr">
        <is>
          <t>R-34</t>
        </is>
      </c>
      <c r="B35" s="47" t="inlineStr">
        <is>
          <t>Nebbia e nubi basse notturne (es. Pianura Padana d'inverno) non riconosciute dalla maschera MTG all'infrarosso</t>
        </is>
      </c>
      <c r="C35" s="47" t="inlineStr">
        <is>
          <t>Falso blackout se anche gli indizi a bordo non la colgono</t>
        </is>
      </c>
      <c r="D35" s="47" t="n"/>
      <c r="E35" s="47" t="inlineStr">
        <is>
          <t>Alta</t>
        </is>
      </c>
      <c r="F35" s="50">
        <f>IF(OR(D35="",E35=""),"",MATCH(D35,{"Bassa","Media","Alta"},0)*MATCH(E35,{"Bassa","Media","Alta"},0))</f>
        <v/>
      </c>
      <c r="G35" s="47" t="inlineStr">
        <is>
          <t>Indizi di nitidezza a bordo; prodotto nebbia notturna MTG (canali 3,8 e 10,5 µm, TBC); "non confermabile" nelle zone e stagioni a rischio nebbia senza indizi chiari</t>
        </is>
      </c>
      <c r="H35" s="47" t="inlineStr">
        <is>
          <t>A4</t>
        </is>
      </c>
      <c r="I35" s="47" t="n"/>
      <c r="J35" s="47" t="inlineStr">
        <is>
          <t>Giuseppe</t>
        </is>
      </c>
      <c r="K35" s="47" t="inlineStr">
        <is>
          <t>Aperto</t>
        </is>
      </c>
      <c r="L35" s="47" t="inlineStr">
        <is>
          <t>A4</t>
        </is>
      </c>
      <c r="M35" s="47" t="inlineStr">
        <is>
          <t>Nato in A4.3 (D-062). Probabilità da valutare in A6</t>
        </is>
      </c>
    </row>
    <row r="36" ht="15" customHeight="1" s="26">
      <c r="A36" s="47" t="inlineStr">
        <is>
          <t>R-35</t>
        </is>
      </c>
      <c r="B36" s="47" t="inlineStr">
        <is>
          <t>Errore sul fondo lunare maggiore del 10% ipotizzato (campi vicini con albedo diverso dal paese, albedo stagionale, ombre)</t>
        </is>
      </c>
      <c r="C36" s="47" t="inlineStr">
        <is>
          <t>Paesi non confermabili nelle notti di luna forte</t>
        </is>
      </c>
      <c r="D36" s="47" t="n"/>
      <c r="E36" s="47" t="inlineStr">
        <is>
          <t>Media</t>
        </is>
      </c>
      <c r="F36" s="50">
        <f>IF(OR(D36="",E36=""),"",MATCH(D36,{"Bassa","Media","Alta"},0)*MATCH(E36,{"Bassa","Media","Alta"},0))</f>
        <v/>
      </c>
      <c r="G36" s="47" t="inlineStr">
        <is>
          <t>Albedo da immagini diurne recenti della stessa stagione; più zone di campo attorno al paese; con incertezza alta l'allarme diventa "non confermabile"</t>
        </is>
      </c>
      <c r="H36" s="47" t="inlineStr">
        <is>
          <t>Fase B</t>
        </is>
      </c>
      <c r="I36" s="47" t="n"/>
      <c r="J36" s="47" t="inlineStr">
        <is>
          <t>Giuseppe</t>
        </is>
      </c>
      <c r="K36" s="47" t="inlineStr">
        <is>
          <t>Aperto</t>
        </is>
      </c>
      <c r="L36" s="47" t="inlineStr">
        <is>
          <t>A4</t>
        </is>
      </c>
      <c r="M36" s="47" t="inlineStr">
        <is>
          <t>Nato in A4.4 (D-063). Probabilità da valutare in A6</t>
        </is>
      </c>
    </row>
    <row r="37" ht="15" customHeight="1" s="26">
      <c r="A37" s="47" t="inlineStr">
        <is>
          <t>R-36</t>
        </is>
      </c>
      <c r="B37" s="47" t="inlineStr">
        <is>
          <t>Margine stretto della soglia del 70%: variazione tra notti o luci residue nel blackout maggiori delle ipotesi (20% e 10–20%)</t>
        </is>
      </c>
      <c r="C37" s="47" t="inlineStr">
        <is>
          <t>Falsi allarmi o blackout persi</t>
        </is>
      </c>
      <c r="D37" s="47" t="n"/>
      <c r="E37" s="47" t="inlineStr">
        <is>
          <t>Alta</t>
        </is>
      </c>
      <c r="F37" s="50">
        <f>IF(OR(D37="",E37=""),"",MATCH(D37,{"Bassa","Media","Alta"},0)*MATCH(E37,{"Bassa","Media","Alta"},0))</f>
        <v/>
      </c>
      <c r="G37" s="47" t="inlineStr">
        <is>
          <t>Taratura in Fase B su blackout reali con dati VIIRS giornalieri; fascia "calo parziale" come cuscinetto; conferma a terra (D-062)</t>
        </is>
      </c>
      <c r="H37" s="47" t="inlineStr">
        <is>
          <t>Fase B</t>
        </is>
      </c>
      <c r="I37" s="47" t="n"/>
      <c r="J37" s="47" t="inlineStr">
        <is>
          <t>Giuseppe</t>
        </is>
      </c>
      <c r="K37" s="47" t="inlineStr">
        <is>
          <t>Aperto</t>
        </is>
      </c>
      <c r="L37" s="47" t="inlineStr">
        <is>
          <t>A4</t>
        </is>
      </c>
      <c r="M37" s="47" t="inlineStr">
        <is>
          <t>Nato in A4.5 (D-064). Probabilità da valutare in A6</t>
        </is>
      </c>
    </row>
    <row r="38" ht="15" customHeight="1" s="26">
      <c r="A38" s="47" t="inlineStr">
        <is>
          <t>R-37</t>
        </is>
      </c>
      <c r="B38" s="47" t="inlineStr">
        <is>
          <t>Archivio notturno PULSE costruito troppo lentamente (poche scene per notte, nuvole, luna)</t>
        </is>
      </c>
      <c r="C38" s="47" t="inlineStr">
        <is>
          <t>Per molto tempo solo riferimento VIIRS: confermati solo blackout ≥ ~1 km</t>
        </is>
      </c>
      <c r="D38" s="47" t="n"/>
      <c r="E38" s="47" t="inlineStr">
        <is>
          <t>Media</t>
        </is>
      </c>
      <c r="F38" s="50">
        <f>IF(OR(D38="",E38=""),"",MATCH(D38,{"Bassa","Media","Alta"},0)*MATCH(E38,{"Bassa","Media","Alta"},0))</f>
        <v/>
      </c>
      <c r="G38" s="47" t="inlineStr">
        <is>
          <t>Priorità a città e zone a rischio; uso delle notti senza richieste; VIIRS come base (D-061)</t>
        </is>
      </c>
      <c r="H38" s="47" t="inlineStr">
        <is>
          <t>A5</t>
        </is>
      </c>
      <c r="I38" s="47" t="n"/>
      <c r="J38" s="47" t="inlineStr">
        <is>
          <t>Entrambi</t>
        </is>
      </c>
      <c r="K38" s="47" t="inlineStr">
        <is>
          <t>Aperto</t>
        </is>
      </c>
      <c r="L38" s="47" t="inlineStr">
        <is>
          <t>A4</t>
        </is>
      </c>
      <c r="M38" s="47" t="inlineStr">
        <is>
          <t>Nato in A4.6 (D-065). Dipende dalle scene per notte (Giuliano). Probabilità da valutare in A6 26/10/2026 (D-067): scene d'archivio scaricate in coda entro 24 h; con margine nel contatto notturno (A5.5) si passa allo scarico immediato. 30/10/2026 (D-073): invecchiamento nella coda di scarico, l'archivio non resta fermo oltre 24 h. | 30/10/2026 (D-083): archivio scaricato nello stesso contatto notturno; ~11 scene/notte con 4 satelliti, tutta Italia in ~290 notti utili.</t>
        </is>
      </c>
    </row>
    <row r="39" ht="15" customHeight="1" s="26">
      <c r="A39" s="47" t="inlineStr">
        <is>
          <t>R-38</t>
        </is>
      </c>
      <c r="B39" s="47" t="inlineStr">
        <is>
          <t>Seconda ripresa notturna possibile solo per una parte dei bersagli (16% da prime riprese ≤ 30°, 28% da ≤ 45°)</t>
        </is>
      </c>
      <c r="C39" s="47" t="inlineStr">
        <is>
          <t>La maggior parte dei casi dubbi resta "non confermabile" fino alla notte successiva</t>
        </is>
      </c>
      <c r="D39" s="47" t="inlineStr">
        <is>
          <t>Alta</t>
        </is>
      </c>
      <c r="E39" s="47" t="inlineStr">
        <is>
          <t>Bassa</t>
        </is>
      </c>
      <c r="F39" s="50">
        <f>IF(OR(D39="",E39=""),"",MATCH(D39,{"Bassa","Media","Alta"},0)*MATCH(E39,{"Bassa","Media","Alta"},0))</f>
        <v/>
      </c>
      <c r="G39" s="47" t="inlineStr">
        <is>
          <t>Ripresa la notte dopo entro le 48 h di MR-02; seconda ripresa su richiesta (D-066, opzione C) e criteri di priorità nella pianificazione da valutare in Fase B</t>
        </is>
      </c>
      <c r="H39" s="47" t="inlineStr">
        <is>
          <t>Fase B</t>
        </is>
      </c>
      <c r="I39" s="47" t="n"/>
      <c r="J39" s="47" t="inlineStr">
        <is>
          <t>Entrambi</t>
        </is>
      </c>
      <c r="K39" s="47" t="inlineStr">
        <is>
          <t>Aperto</t>
        </is>
      </c>
      <c r="L39" s="47" t="inlineStr">
        <is>
          <t>A4</t>
        </is>
      </c>
      <c r="M39" s="47" t="inlineStr">
        <is>
          <t>Nato con D-066 (26/10/2026). Impatto basso: l'allarme resta e si conferma più tardi</t>
        </is>
      </c>
    </row>
    <row r="40">
      <c r="A40" s="47" t="inlineStr">
        <is>
          <t>R-39</t>
        </is>
      </c>
      <c r="B40" s="47" t="inlineStr">
        <is>
          <t>Spazio sulla faccia a nadir insufficiente per l'antenna TT&amp;C accanto all'apertura del telescopio, o disturbo elettromagnetico sui sensori</t>
        </is>
      </c>
      <c r="C40" s="47" t="inlineStr">
        <is>
          <t>Antenna da spostare su una faccia laterale (copertura ridotta vicino al nadir) o schermature in più</t>
        </is>
      </c>
      <c r="D40" s="47" t="inlineStr">
        <is>
          <t>Media</t>
        </is>
      </c>
      <c r="E40" s="47" t="inlineStr">
        <is>
          <t>Bassa</t>
        </is>
      </c>
      <c r="F40" s="50">
        <f>IF(OR(D40="",E40=""),"",MATCH(D40,{"Bassa","Media","Alta"},0)*MATCH(E40,{"Bassa","Media","Alta"},0))</f>
        <v/>
      </c>
      <c r="G40" s="47" t="inlineStr">
        <is>
          <t>Superficie libera da Giuseppe (A5 payload); in alternativa antenna sullo spigolo o su una faccia laterale inclinata verso nadir; verifica EMC in Fase B</t>
        </is>
      </c>
      <c r="H40" s="47" t="inlineStr">
        <is>
          <t>A5.7</t>
        </is>
      </c>
      <c r="I40" s="47" t="n"/>
      <c r="J40" s="47" t="inlineStr">
        <is>
          <t>Entrambi</t>
        </is>
      </c>
      <c r="K40" s="47" t="inlineStr">
        <is>
          <t>In mitigazione</t>
        </is>
      </c>
      <c r="L40" s="47" t="inlineStr">
        <is>
          <t>A5</t>
        </is>
      </c>
      <c r="M40" s="47" t="inlineStr">
        <is>
          <t>Nato con D-068 (30/10/2026). Collegato a R-01 (telescopio a sezione intera vicino al primario) | 30/10/2026 (D-078): telescopio spostato su un lato, striscia libera ~66 × 206 mm per l'antenna a nadir. | 30/10/2026 (D-080): antenna compatta ≤ 60 mm su ceramica; riserva antenna su spigolo o faccia laterale inclinata (K3).</t>
        </is>
      </c>
    </row>
    <row r="41">
      <c r="A41" s="47" t="inlineStr">
        <is>
          <t>R-40</t>
        </is>
      </c>
      <c r="B41" s="47" t="inlineStr">
        <is>
          <t>Licenza di frequenza in banda S con larghezza di banda minore di quella richiesta (~6,8 MHz) o tempi lunghi di coordinamento ITU</t>
        </is>
      </c>
      <c r="C41" s="47" t="inlineStr">
        <is>
          <t>Velocità di discesa ridotta (es. 1 Mbit/s, ~0,5 GB/giorno) o ritardo del lancio</t>
        </is>
      </c>
      <c r="D41" s="47" t="inlineStr">
        <is>
          <t>Media</t>
        </is>
      </c>
      <c r="E41" s="47" t="inlineStr">
        <is>
          <t>Media</t>
        </is>
      </c>
      <c r="F41" s="50">
        <f>IF(OR(D41="",E41=""),"",MATCH(D41,{"Bassa","Media","Alta"},0)*MATCH(E41,{"Bassa","Media","Alta"},0))</f>
        <v/>
      </c>
      <c r="G41" s="47" t="inlineStr">
        <is>
          <t>Avviare presto la pratica (Fase B); la velocità variabile (D-069) permette di scendere a 1–2 Mbit/s senza cambiare hardware; volume da scaricare ridotto dalla catena a bordo (D-007, D-065)</t>
        </is>
      </c>
      <c r="H41" s="47" t="inlineStr">
        <is>
          <t>Fase B</t>
        </is>
      </c>
      <c r="I41" s="47" t="n"/>
      <c r="J41" s="47" t="inlineStr">
        <is>
          <t>Giuliano</t>
        </is>
      </c>
      <c r="K41" s="47" t="inlineStr">
        <is>
          <t>Aperto</t>
        </is>
      </c>
      <c r="L41" s="47" t="inlineStr">
        <is>
          <t>A5</t>
        </is>
      </c>
      <c r="M41" s="47" t="inlineStr">
        <is>
          <t>Nato con D-069 (30/10/2026) | 30/10/2026 (D-082): anche a 1 Mbit/s (~0,5 GB/giorno) il picco di 194 MB/giorno resta scaricabile: impatto del rischio ridotto.</t>
        </is>
      </c>
    </row>
    <row r="42">
      <c r="A42" s="47" t="inlineStr">
        <is>
          <t>R-41</t>
        </is>
      </c>
      <c r="B42" s="47" t="inlineStr">
        <is>
          <t>Compressione meno efficace del previsto su scene molto dettagliate (città, boschi)</t>
        </is>
      </c>
      <c r="C42" s="47" t="inlineStr">
        <is>
          <t>Meno scene scaricate per contatto; coda più lunga</t>
        </is>
      </c>
      <c r="D42" s="47" t="inlineStr">
        <is>
          <t>Media</t>
        </is>
      </c>
      <c r="E42" s="47" t="inlineStr">
        <is>
          <t>Bassa</t>
        </is>
      </c>
      <c r="F42" s="50">
        <f>IF(OR(D42="",E42=""),"",MATCH(D42,{"Bassa","Media","Alta"},0)*MATCH(E42,{"Bassa","Media","Alta"},0))</f>
        <v/>
      </c>
      <c r="G42" s="47" t="inlineStr">
        <is>
          <t>Coda con priorità (allarmi prima), binning 3×3 di notte, prova del compressore su immagini reali o simulate</t>
        </is>
      </c>
      <c r="H42" s="47" t="inlineStr">
        <is>
          <t>Fase B</t>
        </is>
      </c>
      <c r="I42" s="47" t="n"/>
      <c r="J42" s="47" t="inlineStr">
        <is>
          <t>Giuseppe</t>
        </is>
      </c>
      <c r="K42" s="47" t="inlineStr">
        <is>
          <t>Aperto</t>
        </is>
      </c>
      <c r="L42" s="47" t="inlineStr">
        <is>
          <t>A5</t>
        </is>
      </c>
      <c r="M42" s="47" t="inlineStr">
        <is>
          <t>Nato con D-071 (29/10/2026) 30/10/2026: ID rinumerato (era R-39) per un conflitto di numerazione tra le due copie del registro. 30/10/2026 Giuseppe: impatto da Media a Bassa (anche con scene diurne compresse solo 2:1 il caso di emergenza è ~320 MB/giorno, ~16% della banda S; senza compressione ~610 MB); resta aperto fino alla prova del compressore (Fase B).</t>
        </is>
      </c>
    </row>
    <row r="43">
      <c r="A43" s="47" t="inlineStr">
        <is>
          <t>R-42</t>
        </is>
      </c>
      <c r="B43" s="47" t="inlineStr">
        <is>
          <t>Il TMA in asse (D-076) non riesce a dare un'immagine nitida su tutto il campo di 3,9° richiesto dai due sensori affiancati (D-027)</t>
        </is>
      </c>
      <c r="C43" s="47" t="inlineStr">
        <is>
          <t>Uno dei due sensori ai bordi del campo vede un'immagine sfocata</t>
        </is>
      </c>
      <c r="D43" s="47" t="inlineStr">
        <is>
          <t>Media</t>
        </is>
      </c>
      <c r="E43" s="47" t="inlineStr">
        <is>
          <t>Alta</t>
        </is>
      </c>
      <c r="F43" s="50">
        <f>IF(OR(D43="",E43=""),"",MATCH(D43,{"Bassa","Media","Alta"},0)*MATCH(E43,{"Bassa","Media","Alta"},0))</f>
        <v/>
      </c>
      <c r="G43" s="47" t="inlineStr">
        <is>
          <t>Verifica con progettista ottico in Fase B; riserve: sensori più vicini al centro, campo ridotto o sensore notturno più piccolo</t>
        </is>
      </c>
      <c r="H43" s="47" t="inlineStr">
        <is>
          <t>Fase B</t>
        </is>
      </c>
      <c r="I43" s="47" t="n"/>
      <c r="J43" s="47" t="inlineStr">
        <is>
          <t>Giuseppe</t>
        </is>
      </c>
      <c r="K43" s="47" t="inlineStr">
        <is>
          <t>Chiuso</t>
        </is>
      </c>
      <c r="L43" s="47" t="inlineStr">
        <is>
          <t>A5</t>
        </is>
      </c>
      <c r="M43" s="47" t="inlineStr">
        <is>
          <t>Nato con D-076 (30/10/2026) | 30/10/2026 (A5.P4): avverato e risolto. Il Korsch in asse non regge 3,9° (fasci sovrapposti sullo specchio di rinvio); sostituito dal telescopio RC + 3 lenti (D-088), che regge tutto il campo.</t>
        </is>
      </c>
    </row>
    <row r="44">
      <c r="A44" s="47" t="inlineStr">
        <is>
          <t>R-43</t>
        </is>
      </c>
      <c r="B44" s="47" t="inlineStr">
        <is>
          <t>Il meccanismo del coperchio richiudibile si blocca</t>
        </is>
      </c>
      <c r="C44" s="47" t="inlineStr">
        <is>
          <t>Bloccato chiuso: niente riprese. Bloccato aperto: Sole e iodio sugli specchi (R-23), riprese degradate</t>
        </is>
      </c>
      <c r="D44" s="47" t="inlineStr">
        <is>
          <t>Bassa</t>
        </is>
      </c>
      <c r="E44" s="47" t="inlineStr">
        <is>
          <t>Alta</t>
        </is>
      </c>
      <c r="F44" s="50">
        <f>IF(OR(D44="",E44=""),"",MATCH(D44,{"Bassa","Media","Alta"},0)*MATCH(E44,{"Bassa","Media","Alta"},0))</f>
        <v/>
      </c>
      <c r="G44" s="47" t="inlineStr">
        <is>
          <t>Meccanismo con eredità di volo e prove di vita (cicli) in Fase B; posizione di sicurezza aperta con assetto che tiene il Sole fuori dai 52°</t>
        </is>
      </c>
      <c r="H44" s="47" t="inlineStr">
        <is>
          <t>Fase B</t>
        </is>
      </c>
      <c r="I44" s="47" t="n"/>
      <c r="J44" s="47" t="inlineStr">
        <is>
          <t>Giuseppe</t>
        </is>
      </c>
      <c r="K44" s="47" t="inlineStr">
        <is>
          <t>Aperto</t>
        </is>
      </c>
      <c r="L44" s="47" t="inlineStr">
        <is>
          <t>A5</t>
        </is>
      </c>
      <c r="M44" s="47" t="inlineStr">
        <is>
          <t>Nato con D-079 (30/10/2026) | 30/10/2026: posizione di sicurezza aperta compatibile con il safe GNC se i pannelli sono perpendicolari all'asse ottico (A5.6). | 30/10/2026 (D-106): con ali a zenit il safe tiene il Sole dietro il telescopio (~180°): caso coperchio bloccato aperto coperto</t>
        </is>
      </c>
    </row>
    <row r="45">
      <c r="A45" s="47" t="inlineStr">
        <is>
          <t>R-44</t>
        </is>
      </c>
      <c r="B45" s="47" t="inlineStr">
        <is>
          <t>Il contatto con Fucino dopo le riprese è troppo corto, oppure Fucino non può ricevere dati a 4,3 Mbit/s (antenna, licenza, trasmissione non permessa durante le riprese)</t>
        </is>
      </c>
      <c r="C45" s="47" t="inlineStr">
        <is>
          <t>Gli allarmi diurni arrivano al contatto con Svalbard (~1 h 15 min dopo la ripresa invece di ~2 min); quelli notturni dopo 5–8 min; resta dentro le 48 h di MR-02</t>
        </is>
      </c>
      <c r="D45" s="47" t="inlineStr">
        <is>
          <t>Media</t>
        </is>
      </c>
      <c r="E45" s="47" t="inlineStr">
        <is>
          <t>Bassa</t>
        </is>
      </c>
      <c r="F45" s="50">
        <f>IF(OR(D45="",E45=""),"",MATCH(D45,{"Bassa","Media","Alta"},0)*MATCH(E45,{"Bassa","Media","Alta"},0))</f>
        <v/>
      </c>
      <c r="G45" s="47" t="inlineStr">
        <is>
          <t>Verifica GMAT della finestra Fucino dopo l'ultimo bersaglio (Giuliano); caratteristiche della stazione di Fucino in banda S; se il contatto salta gli allarmi restano in classe 2 della coda (D-073) e partono al primo contatto Svalbard/Fairbanks</t>
        </is>
      </c>
      <c r="H45" s="47" t="inlineStr">
        <is>
          <t>A5.5 (Giuliano), Fase B</t>
        </is>
      </c>
      <c r="I45" s="47" t="n"/>
      <c r="J45" s="47" t="inlineStr">
        <is>
          <t>Entrambi</t>
        </is>
      </c>
      <c r="K45" s="47" t="inlineStr">
        <is>
          <t>Aperto</t>
        </is>
      </c>
      <c r="L45" s="47" t="inlineStr">
        <is>
          <t>A5</t>
        </is>
      </c>
      <c r="M45" s="47" t="inlineStr">
        <is>
          <t>Nato con D-081 (30/10/2026) | 30/10/2026 (G2): vale solo di giorno; finestra residua 50–198 s (GMAT). Da verificare con Telespazio la ricezione S a 4,3 Mbit/s a Fucino.</t>
        </is>
      </c>
    </row>
    <row r="46">
      <c r="A46" s="47" t="inlineStr">
        <is>
          <t>R-45</t>
        </is>
      </c>
      <c r="B46" s="47" t="inlineStr">
        <is>
          <t>Mancato dispiegamento dell'antenna UHF</t>
        </is>
      </c>
      <c r="C46" s="47" t="inlineStr">
        <is>
          <t>Perdita della via di riserva (resta la banda S)</t>
        </is>
      </c>
      <c r="D46" s="47" t="inlineStr">
        <is>
          <t>Bassa</t>
        </is>
      </c>
      <c r="E46" s="47" t="inlineStr">
        <is>
          <t>Media</t>
        </is>
      </c>
      <c r="F46" s="50">
        <f>IF(OR(D46="",E46=""),"",MATCH(D46,{"Bassa","Media","Alta"},0)*MATCH(E46,{"Bassa","Media","Alta"},0))</f>
        <v/>
      </c>
      <c r="G46" s="47" t="inlineStr">
        <is>
          <t>Antenna con eredità di volo e prove di dispiegamento (Fase B/C); la catena S resta la via principale con antenne fisse</t>
        </is>
      </c>
      <c r="H46" s="47" t="inlineStr">
        <is>
          <t>Fase B</t>
        </is>
      </c>
      <c r="I46" s="47" t="n"/>
      <c r="J46" s="47" t="inlineStr">
        <is>
          <t>Giuliano</t>
        </is>
      </c>
      <c r="K46" s="47" t="inlineStr">
        <is>
          <t>Aperto</t>
        </is>
      </c>
      <c r="L46" s="47" t="inlineStr">
        <is>
          <t>A5</t>
        </is>
      </c>
      <c r="M46" s="47" t="inlineStr">
        <is>
          <t>Nato con D-082 (30/10/2026). Anche disponibilità di stazioni UHF e licenza 400,15–401 MHz da verificare</t>
        </is>
      </c>
    </row>
    <row r="47">
      <c r="A47" s="47" t="inlineStr">
        <is>
          <t>R-46</t>
        </is>
      </c>
      <c r="B47" s="47" t="inlineStr">
        <is>
          <t>Ricetrasmettitore S di riferimento (classe XLink-S) senza eredità di volo verificabile</t>
        </is>
      </c>
      <c r="C47" s="47" t="inlineStr">
        <is>
          <t>Ritardi o sostituzione della radio S</t>
        </is>
      </c>
      <c r="D47" s="47" t="inlineStr">
        <is>
          <t>Media</t>
        </is>
      </c>
      <c r="E47" s="47" t="inlineStr">
        <is>
          <t>Media</t>
        </is>
      </c>
      <c r="F47" s="50">
        <f>IF(OR(D47="",E47=""),"",MATCH(D47,{"Bassa","Media","Alta"},0)*MATCH(E47,{"Bassa","Media","Alta"},0))</f>
        <v/>
      </c>
      <c r="G47" s="47" t="inlineStr">
        <is>
          <t>Verificare i voli con il costruttore in Fase B; ripiego R1 (ISIS TXS2 + ricevitore ISIS, a catalogo) accettando una salita lenta (9,6 kbit/s) o un ricevitore separato più veloce</t>
        </is>
      </c>
      <c r="H47" s="47" t="inlineStr">
        <is>
          <t>Fase B</t>
        </is>
      </c>
      <c r="I47" s="47" t="n"/>
      <c r="J47" s="47" t="inlineStr">
        <is>
          <t>Giuliano</t>
        </is>
      </c>
      <c r="K47" s="47" t="inlineStr">
        <is>
          <t>Aperto</t>
        </is>
      </c>
      <c r="L47" s="47" t="inlineStr">
        <is>
          <t>A5</t>
        </is>
      </c>
      <c r="M47" s="47" t="inlineStr">
        <is>
          <t>Nato con D-084 (30/10/2026)</t>
        </is>
      </c>
    </row>
    <row r="48">
      <c r="A48" s="47" t="inlineStr">
        <is>
          <t>R-47</t>
        </is>
      </c>
      <c r="B48" s="47" t="inlineStr">
        <is>
          <t>Il chip AI scelto (famiglia commerciale) esce di produzione o cambia prima della costruzione dei 4 satelliti</t>
        </is>
      </c>
      <c r="C48" s="47" t="inlineStr">
        <is>
          <t>Riprogettare la schedina AI e riportare la rete sul nuovo chip; ritardo</t>
        </is>
      </c>
      <c r="D48" s="47" t="inlineStr">
        <is>
          <t>Media</t>
        </is>
      </c>
      <c r="E48" s="47" t="inlineStr">
        <is>
          <t>Media</t>
        </is>
      </c>
      <c r="F48" s="50">
        <f>IF(OR(D48="",E48=""),"",MATCH(D48,{"Bassa","Media","Alta"},0)*MATCH(E48,{"Bassa","Media","Alta"},0))</f>
        <v/>
      </c>
      <c r="G48" s="47" t="inlineStr">
        <is>
          <t>Verificare in Fase B disponibilità e piano di produzione; tenere la rete in un formato portabile; FPGA dell'opzione 1 come riserva (stesse interfacce)</t>
        </is>
      </c>
      <c r="H48" s="47" t="inlineStr">
        <is>
          <t>Fase B</t>
        </is>
      </c>
      <c r="I48" s="47" t="n"/>
      <c r="J48" s="47" t="inlineStr">
        <is>
          <t>Giuseppe</t>
        </is>
      </c>
      <c r="K48" s="47" t="inlineStr">
        <is>
          <t>Aperto</t>
        </is>
      </c>
      <c r="L48" s="47" t="inlineStr">
        <is>
          <t>A5</t>
        </is>
      </c>
      <c r="M48" s="47" t="inlineStr">
        <is>
          <t>Nato con D-085 (30/10/2026)</t>
        </is>
      </c>
    </row>
    <row r="49" s="26">
      <c r="A49" s="47" t="inlineStr">
        <is>
          <t>R-48</t>
        </is>
      </c>
      <c r="B49" s="47" t="inlineStr">
        <is>
          <t>Il chip AI commerciale subisce errori o blocchi da radiazione (inversione di bit, latch-up)</t>
        </is>
      </c>
      <c r="C49" s="47" t="inlineStr">
        <is>
          <t>Elaborazione interrotta o risultato sbagliato; allarmi in ritardo fino al riavvio</t>
        </is>
      </c>
      <c r="D49" s="47" t="inlineStr">
        <is>
          <t>Bassa</t>
        </is>
      </c>
      <c r="E49" s="47" t="inlineStr">
        <is>
          <t>Media</t>
        </is>
      </c>
      <c r="F49" s="50">
        <f>IF(OR(D49="",E49=""),"",MATCH(D49,{"Bassa","Media","Alta"},0)*MATCH(E49,{"Bassa","Media","Alta"},0))</f>
        <v/>
      </c>
      <c r="G49" s="47" t="inlineStr">
        <is>
          <t>Orbita bassa (302 km, dose ridotta); controllo dell'FPGA con riavvio automatico e protezione da sovracorrente; modo degradato DR-51; controllo dei risultati a terra (D-065)</t>
        </is>
      </c>
      <c r="H49" s="47" t="inlineStr">
        <is>
          <t>Fase B (prove di radiazione)</t>
        </is>
      </c>
      <c r="I49" s="47" t="n"/>
      <c r="J49" s="47" t="inlineStr">
        <is>
          <t>Giuseppe</t>
        </is>
      </c>
      <c r="K49" s="47" t="inlineStr">
        <is>
          <t>Aperto</t>
        </is>
      </c>
      <c r="L49" s="47" t="inlineStr">
        <is>
          <t>A5</t>
        </is>
      </c>
      <c r="M49" s="47" t="inlineStr">
        <is>
          <t>Nato con D-085 (30/10/2026)</t>
        </is>
      </c>
    </row>
    <row r="50" s="26">
      <c r="A50" s="47" t="inlineStr">
        <is>
          <t>R-49</t>
        </is>
      </c>
      <c r="B50" s="47" t="inlineStr">
        <is>
          <t>La struttura in fibra di carbonio cambia lunghezza dopo il lancio (rilascio di umidità nel vuoto nei primi mesi, assestamento) o con la temperatura, e il sensore esce dal fuoco</t>
        </is>
      </c>
      <c r="C50" s="47" t="inlineStr">
        <is>
          <t>Fuoco fuori da ±37 µm (DR-03): immagini diurne meno nitide (a ±50 µm errore d'onda 44 nm, a ±100 µm 81 nm)</t>
        </is>
      </c>
      <c r="D50" s="47" t="inlineStr">
        <is>
          <t>Media</t>
        </is>
      </c>
      <c r="E50" s="47" t="inlineStr">
        <is>
          <t>Media</t>
        </is>
      </c>
      <c r="F50" s="50">
        <f>IF(OR(D50="",E50=""),"",MATCH(D50,{"Bassa","Media","Alta"},0)*MATCH(E50,{"Bassa","Media","Alta"},0))</f>
        <v/>
      </c>
      <c r="G50" s="47" t="inlineStr">
        <is>
          <t>Carbonio con resina a basso assorbimento d'acqua e barriera all'umidità; analisi termo-ottica e prova in termo-vuoto (Fase B/C); se il margine non basta, piccolo meccanismo di fuoco sul secondario (decisione in Fase B); fuoco controllato in volo al commissioning</t>
        </is>
      </c>
      <c r="H50" s="47" t="inlineStr">
        <is>
          <t>Fase B</t>
        </is>
      </c>
      <c r="I50" s="47" t="n"/>
      <c r="J50" s="47" t="inlineStr">
        <is>
          <t>Giuseppe</t>
        </is>
      </c>
      <c r="K50" s="47" t="inlineStr">
        <is>
          <t>In mitigazione</t>
        </is>
      </c>
      <c r="L50" s="47" t="inlineStr">
        <is>
          <t>A5</t>
        </is>
      </c>
      <c r="M50" s="47" t="inlineStr">
        <is>
          <t>Nato con D-088 e D-090 (30/10/2026). Collegato a R-24 (calore del motore) | 30/10/2026 (D-098): l'umidità è risolta con le aste in Invar; resta la deriva con la temperatura (±11 K, DR-57) e l'assestamento al lancio, da verificare in Fase B; motorino di fuoco come riserva.</t>
        </is>
      </c>
    </row>
    <row r="51" s="26">
      <c r="A51" s="47" t="inlineStr">
        <is>
          <t>R-50</t>
        </is>
      </c>
      <c r="B51" s="47" t="inlineStr">
        <is>
          <t>Luce parassita: luce che passa dal foro centrale del primario o rimbalza sul tubo e arriva ai sensori senza formare immagine</t>
        </is>
      </c>
      <c r="C51" s="47" t="inlineStr">
        <is>
          <t>Contrasto più basso; di notte fondo più alto vicino a città illuminate o con la Luna (SNR più basso, falsi segnali nella conferma blackout)</t>
        </is>
      </c>
      <c r="D51" s="47" t="inlineStr">
        <is>
          <t>Media</t>
        </is>
      </c>
      <c r="E51" s="47" t="inlineStr">
        <is>
          <t>Media</t>
        </is>
      </c>
      <c r="F51" s="50">
        <f>IF(OR(D51="",E51=""),"",MATCH(D51,{"Bassa","Media","Alta"},0)*MATCH(E51,{"Bassa","Media","Alta"},0))</f>
        <v/>
      </c>
      <c r="G51" s="47" t="inlineStr">
        <is>
          <t>Tubetto paraluce nel foro del primario e paraluce intorno al secondario (normali negli RC), alette interne nel tubo, vernice nera; analisi di luce parassita in Fase B; fondo misurato e tolto come per la Luna (D-063)</t>
        </is>
      </c>
      <c r="H51" s="47" t="inlineStr">
        <is>
          <t>Fase B</t>
        </is>
      </c>
      <c r="I51" s="47" t="n"/>
      <c r="J51" s="47" t="inlineStr">
        <is>
          <t>Giuseppe</t>
        </is>
      </c>
      <c r="K51" s="47" t="inlineStr">
        <is>
          <t>Aperto</t>
        </is>
      </c>
      <c r="L51" s="47" t="inlineStr">
        <is>
          <t>A5</t>
        </is>
      </c>
      <c r="M51" s="47" t="inlineStr">
        <is>
          <t>Nato con D-088 (30/10/2026). Collegato a R-20 (modello SNR senza luce parassita)</t>
        </is>
      </c>
    </row>
    <row r="52" s="26">
      <c r="A52" s="47" t="inlineStr">
        <is>
          <t>R-51</t>
        </is>
      </c>
      <c r="B52" s="47" t="inlineStr">
        <is>
          <t>Il calore della scheda payload, montata vicino al piano focale (D-091), scalda i sensori o il telescopio</t>
        </is>
      </c>
      <c r="C52" s="47" t="inlineStr">
        <is>
          <t>Fuoco spostato oltre ±37 µm (DR-03) o sensore notturno più caldo (più corrente di buio, SNR notturno più basso)</t>
        </is>
      </c>
      <c r="D52" s="47" t="inlineStr">
        <is>
          <t>Bassa</t>
        </is>
      </c>
      <c r="E52" s="47" t="inlineStr">
        <is>
          <t>Media</t>
        </is>
      </c>
      <c r="F52" s="50">
        <f>IF(OR(D52="",E52=""),"",MATCH(D52,{"Bassa","Media","Alta"},0)*MATCH(E52,{"Bassa","Media","Alta"},0))</f>
        <v/>
      </c>
      <c r="G52" s="47" t="inlineStr">
        <is>
          <t>Scheda fissata alla struttura con isolamento termico verso il telescopio, radiatore proprio, accesa solo intorno alle riprese (~10 min); verifica nell'analisi termica A5.P7; riserva: scheda divisa in due (opzione C di D-091)</t>
        </is>
      </c>
      <c r="H52" s="47" t="inlineStr">
        <is>
          <t>A5.P7, Fase B</t>
        </is>
      </c>
      <c r="I52" s="47" t="n"/>
      <c r="J52" s="47" t="inlineStr">
        <is>
          <t>Giuseppe</t>
        </is>
      </c>
      <c r="K52" s="47" t="inlineStr">
        <is>
          <t>Aperto</t>
        </is>
      </c>
      <c r="L52" s="47" t="inlineStr">
        <is>
          <t>A5</t>
        </is>
      </c>
      <c r="M52" s="47" t="inlineStr">
        <is>
          <t>Nato con D-091 (30/10/2026). Collegato a R-24, R-49</t>
        </is>
      </c>
    </row>
    <row r="53" s="26">
      <c r="A53" s="47" t="inlineStr">
        <is>
          <t>R-52</t>
        </is>
      </c>
      <c r="B53" s="47" t="inlineStr">
        <is>
          <t>I sensori commerciali (IMX342 di giorno, GSENSE400BSI di notte) non reggono bene la radiazione: blocco da particella singola (latch-up) o pixel caldi che crescono negli anni</t>
        </is>
      </c>
      <c r="C53" s="47" t="inlineStr">
        <is>
          <t>Latch-up: sensore danneggiato se non protetto. Pixel caldi e buio in aumento: SNR notturno più basso e falsi punti luminosi (conferma blackout)</t>
        </is>
      </c>
      <c r="D53" s="47" t="inlineStr">
        <is>
          <t>Media</t>
        </is>
      </c>
      <c r="E53" s="47" t="inlineStr">
        <is>
          <t>Media</t>
        </is>
      </c>
      <c r="F53" s="50">
        <f>IF(OR(D53="",E53=""),"",MATCH(D53,{"Bassa","Media","Alta"},0)*MATCH(E53,{"Bassa","Media","Alta"},0))</f>
        <v/>
      </c>
      <c r="G53" s="47" t="inlineStr">
        <is>
          <t>Prove a protoni e ioni pesanti in Fase B (DR-54); limitatore di corrente con riavvio; mappa dei pixel caldi aggiornata in volo e tolta a terra; sensore notturno freddo (DR-55); seconde fonti: GMAX3265 (giorno), Teledyne Emerald 67M USV già selezionato per lo spazio (riserva con meno SNR)</t>
        </is>
      </c>
      <c r="H53" s="47" t="inlineStr">
        <is>
          <t>Fase B</t>
        </is>
      </c>
      <c r="I53" s="47" t="n"/>
      <c r="J53" s="47" t="inlineStr">
        <is>
          <t>Giuseppe</t>
        </is>
      </c>
      <c r="K53" s="47" t="inlineStr">
        <is>
          <t>Aperto</t>
        </is>
      </c>
      <c r="L53" s="47" t="inlineStr">
        <is>
          <t>A5</t>
        </is>
      </c>
      <c r="M53" s="47" t="inlineStr">
        <is>
          <t>Nato con D-093 e D-094 (30/10/2026)</t>
        </is>
      </c>
    </row>
    <row r="54" s="26">
      <c r="A54" s="47" t="inlineStr">
        <is>
          <t>R-53</t>
        </is>
      </c>
      <c r="B54" s="47" t="inlineStr">
        <is>
          <t>Il controllo d'assetto non riesce a tenere il rallentamento diurno (D-096) abbastanza regolare, oppure la manovra allunga troppo le scene</t>
        </is>
      </c>
      <c r="C54" s="47" t="inlineStr">
        <is>
          <t>Passaggi TDI non allineati (immagine sfocata) o meno scene per passaggio sull'Italia</t>
        </is>
      </c>
      <c r="D54" s="47" t="inlineStr">
        <is>
          <t>Bassa</t>
        </is>
      </c>
      <c r="E54" s="47" t="inlineStr">
        <is>
          <t>Media</t>
        </is>
      </c>
      <c r="F54" s="50">
        <f>IF(OR(D54="",E54=""),"",MATCH(D54,{"Bassa","Media","Alta"},0)*MATCH(E54,{"Bassa","Media","Alta"},0))</f>
        <v/>
      </c>
      <c r="G54" s="47" t="inlineStr">
        <is>
          <t>Simulazione del profilo con il modello ADCS di A5.3 (Giuliano); riallineamento a bordo con il modello geometrico (DR-26); ripiego opzione C (0,1 ms senza manovra, SNR −30%) o rallentamento più piccolo</t>
        </is>
      </c>
      <c r="H54" s="47" t="inlineStr">
        <is>
          <t>A5.7, Fase B</t>
        </is>
      </c>
      <c r="I54" s="47" t="n"/>
      <c r="J54" s="47" t="inlineStr">
        <is>
          <t>Entrambi</t>
        </is>
      </c>
      <c r="K54" s="47" t="inlineStr">
        <is>
          <t>In mitigazione</t>
        </is>
      </c>
      <c r="L54" s="47" t="inlineStr">
        <is>
          <t>A5</t>
        </is>
      </c>
      <c r="M54" s="47" t="inlineStr">
        <is>
          <t>Nato con D-096 (30/10/2026) | 30/10/2026 (D-101): simulazione 1-asse fatta: profilo tenuto (deriva ≤ 0,001°/s, errore ≤ 0,012°), +2,1–2,7 s per scena, giorni con ≥ 4 scene 40% → 30%. Il rischio residuo passa al fattore di scala (R-54) e alla 3-assi in Fase B</t>
        </is>
      </c>
    </row>
    <row r="55" s="26">
      <c r="A55" s="47" t="inlineStr">
        <is>
          <t>R-54</t>
        </is>
      </c>
      <c r="B55" s="47" t="inlineStr">
        <is>
          <t>La calibrazione in volo del fattore di scala del giroscopio di beccheggio non arriva a ~80 ppm (DR-58), o deriva con la temperatura tra una calibrazione e l'altra</t>
        </is>
      </c>
      <c r="C55" s="47" t="inlineStr">
        <is>
          <t>Bande colore e passaggi TDI disallineati di 1–4 pixel nelle riprese diurne con rallentamento</t>
        </is>
      </c>
      <c r="D55" s="47" t="inlineStr">
        <is>
          <t>Media</t>
        </is>
      </c>
      <c r="E55" s="47" t="inlineStr">
        <is>
          <t>Media</t>
        </is>
      </c>
      <c r="F55" s="50">
        <f>IF(OR(D55="",E55=""),"",MATCH(D55,{"Bassa","Media","Alta"},0)*MATCH(E55,{"Bassa","Media","Alta"},0))</f>
        <v/>
      </c>
      <c r="G55" s="47" t="inlineStr">
        <is>
          <t>Calibrazione contro lo star tracker alla velocità del rallentamento, al commissioning e periodica; giroscopio con compensazione termica; riallineamento per correlazione tra le bande (DR-26); ripiego: rallentamento disattivato (opzione C di D-096)</t>
        </is>
      </c>
      <c r="H55" s="47" t="inlineStr">
        <is>
          <t>Fase B (3-assi e modello del giroscopio), commissioning</t>
        </is>
      </c>
      <c r="I55" s="47" t="n"/>
      <c r="J55" s="47" t="inlineStr">
        <is>
          <t>Entrambi</t>
        </is>
      </c>
      <c r="K55" s="47" t="inlineStr">
        <is>
          <t>In mitigazione</t>
        </is>
      </c>
      <c r="L55" s="47" t="inlineStr">
        <is>
          <t>A5</t>
        </is>
      </c>
      <c r="M55" s="47" t="inlineStr">
        <is>
          <t>Nato con D-101 (30/10/2026) | 30/10/2026 (D-101 Approvata): correlazione tra le bande a bordo adottata come complemento (DR-26): sulle scene con contorni corregge l'errore del fattore di scala; il rischio residuo resta sulle zone uniformi (mare, nuvole), dove il disallineamento conta meno</t>
        </is>
      </c>
    </row>
    <row r="56" s="26">
      <c r="A56" s="47" t="inlineStr">
        <is>
          <t>R-55</t>
        </is>
      </c>
      <c r="B56" s="47" t="inlineStr">
        <is>
          <t>Il sensore notturno o la scheda payload, spenti, vengono raffreddati troppo dai propri radiatori (fino a ~−43 °C con il rollio di D-106), sotto i limiti dei componenti</t>
        </is>
      </c>
      <c r="C56" s="47" t="inlineStr">
        <is>
          <t>Guasti o cicli termici eccessivi sull'elettronica e sul sensore; ritardo prima delle riprese per riscaldare</t>
        </is>
      </c>
      <c r="D56" s="47" t="inlineStr">
        <is>
          <t>Media</t>
        </is>
      </c>
      <c r="E56" s="47" t="inlineStr">
        <is>
          <t>Media</t>
        </is>
      </c>
      <c r="F56" s="50">
        <f>IF(OR(D56="",E56=""),"",MATCH(D56,{"Bassa","Media","Alta"},0)*MATCH(E56,{"Bassa","Media","Alta"},0))</f>
        <v/>
      </c>
      <c r="G56" s="47" t="inlineStr">
        <is>
          <t>Riscaldatori di sopravvivenza con termostato (~1 W, D-107); limiti di temperatura dai datasheet; in Fase B interruttore termico o radiatore a collegamento variabile e modello termico completo</t>
        </is>
      </c>
      <c r="H56" s="47" t="inlineStr">
        <is>
          <t>Fase B (modello termico, datasheet)</t>
        </is>
      </c>
      <c r="I56" s="47" t="n"/>
      <c r="J56" s="47" t="inlineStr">
        <is>
          <t>Giuseppe</t>
        </is>
      </c>
      <c r="K56" s="47" t="inlineStr">
        <is>
          <t>In mitigazione</t>
        </is>
      </c>
      <c r="L56" s="47" t="inlineStr">
        <is>
          <t>A5</t>
        </is>
      </c>
      <c r="M56" s="47" t="inlineStr">
        <is>
          <t>Nato con la verifica di D-106 (30/10/2026); il problema c'era già a nadir (~−33 °C), il rollio lo peggiora di ~10 K</t>
        </is>
      </c>
    </row>
    <row r="57" s="26">
      <c r="A57" s="47" t="inlineStr">
        <is>
          <t>R-56</t>
        </is>
      </c>
      <c r="B57" s="47" t="inlineStr">
        <is>
          <t>Con attività solare alta (data di lancio vicina al massimo del ciclo) la potenza dei 6 pannelli non basta per le ~7,8 h/giorno di spinta</t>
        </is>
      </c>
      <c r="C57" s="47" t="inlineStr">
        <is>
          <t>Quota non mantenuta o vita ridotta (come per il propellente, R-12)</t>
        </is>
      </c>
      <c r="D57" s="47" t="inlineStr">
        <is>
          <t>Bassa</t>
        </is>
      </c>
      <c r="E57" s="47" t="inlineStr">
        <is>
          <t>Alta</t>
        </is>
      </c>
      <c r="F57" s="50">
        <f>IF(OR(D57="",E57=""),"",MATCH(D57,{"Bassa","Media","Alta"},0)*MATCH(E57,{"Bassa","Media","Alta"},0))</f>
        <v/>
      </c>
      <c r="G57" s="47" t="inlineStr">
        <is>
          <t>Data di lancio nella fase discendente del ciclo; riserva di 8 pannelli da verificare nel layout (A5.7); riduzione dei consumi fissi (giroscopio 5 W) in Fase B; revisione congiunta con D-033 e D-034 quando la data è nota; regola di bordo 90/80% (D-112): la batteria non si svuota, spinta ridotta a ~5,6 h/giorno</t>
        </is>
      </c>
      <c r="H57" s="47" t="inlineStr">
        <is>
          <t>A6 / Fase B</t>
        </is>
      </c>
      <c r="I57" s="47" t="n"/>
      <c r="J57" s="47" t="inlineStr">
        <is>
          <t>Giuliano</t>
        </is>
      </c>
      <c r="K57" s="47" t="inlineStr">
        <is>
          <t>In mitigazione</t>
        </is>
      </c>
      <c r="L57" s="47" t="inlineStr">
        <is>
          <t>A5</t>
        </is>
      </c>
      <c r="M57" s="47" t="inlineStr">
        <is>
          <t>Nato con D-108 (30/10/2026) | 30/10/2026 (A5.6.7): senza regola la batteria si svuota in &lt; 1 giorno; con D-112 spinta ~5,6 h/giorno (servono 7,8)</t>
        </is>
      </c>
    </row>
    <row r="58" s="26">
      <c r="A58" s="47" t="inlineStr">
        <is>
          <t>R-57</t>
        </is>
      </c>
      <c r="B58" s="47" t="inlineStr">
        <is>
          <t>Il calore del REGULUS che entra nel satellite dall'attacco è più alto della stima di 15 W (fino a 48,5 W se il radiatore sull'ugello smaltisce meno del previsto o vede il satellite)</t>
        </is>
      </c>
      <c r="C58" s="47" t="inlineStr">
        <is>
          <t>Interno più caldo in spinta: radiatore della piattaforma insufficiente, batteria e telescopio fuori dai limiti (DR-64, DR-57), spinta da ridurre</t>
        </is>
      </c>
      <c r="D58" s="47" t="inlineStr">
        <is>
          <t>Media</t>
        </is>
      </c>
      <c r="E58" s="47" t="inlineStr">
        <is>
          <t>Media</t>
        </is>
      </c>
      <c r="F58" s="50">
        <f>IF(OR(D58="",E58=""),"",MATCH(D58,{"Bassa","Media","Alta"},0)*MATCH(E58,{"Bassa","Media","Alta"},0))</f>
        <v/>
      </c>
      <c r="G58" s="47" t="inlineStr">
        <is>
          <t>Verifica con i dati T4i in A5.7.1 (Giuliano); caso di sensibilità a 48,5 W nel modello A5.8.3; ugello su −X con il radiatore che vede lo spazio libero; in Fase B ICD T4i e prova termica</t>
        </is>
      </c>
      <c r="H58" s="47" t="inlineStr">
        <is>
          <t>A5.7.1 / A5.8.3</t>
        </is>
      </c>
      <c r="I58" s="47" t="inlineStr">
        <is>
          <t>TBD</t>
        </is>
      </c>
      <c r="J58" s="47" t="inlineStr">
        <is>
          <t>Giuseppe</t>
        </is>
      </c>
      <c r="K58" s="47" t="inlineStr">
        <is>
          <t>Aperto</t>
        </is>
      </c>
      <c r="L58" s="47" t="inlineStr">
        <is>
          <t>A5</t>
        </is>
      </c>
      <c r="M58" s="47" t="inlineStr">
        <is>
          <t>Nato con D-115 (30/10/2026)</t>
        </is>
      </c>
    </row>
    <row r="59" s="26">
      <c r="A59" s="47" t="inlineStr">
        <is>
          <t>R-58</t>
        </is>
      </c>
      <c r="B59" s="47" t="inlineStr">
        <is>
          <t>L'energia dei riscaldatori della piattaforma nei periodi freddi (giorni di routine d'estate, giorni senza spinta) non sta nell'avanzo del bilancio di potenza</t>
        </is>
      </c>
      <c r="C59" s="47" t="inlineStr">
        <is>
          <t>Meno ore di spinta disponibili o interno sotto i 15 °C (batteria e telescopio vicini ai limiti)</t>
        </is>
      </c>
      <c r="D59" s="47" t="inlineStr">
        <is>
          <t>Media</t>
        </is>
      </c>
      <c r="E59" s="47" t="inlineStr">
        <is>
          <t>Media</t>
        </is>
      </c>
      <c r="F59" s="50">
        <f>IF(OR(D59="",E59=""),"",MATCH(D59,{"Bassa","Media","Alta"},0)*MATCH(E59,{"Bassa","Media","Alta"},0))</f>
        <v/>
      </c>
      <c r="G59" s="47" t="inlineStr">
        <is>
          <t>Interno 15–25 °C (D-116); modello a nodi con capacità termica e vernici a fine vita (A5.8.3); riscaldatori solo sulla batteria se basta; nei giorni senza spinta si usa l'energia non spesa per il motore; radiatore a persiane come riserva</t>
        </is>
      </c>
      <c r="H59" s="47" t="inlineStr">
        <is>
          <t>A5.8.3–A5.8.4</t>
        </is>
      </c>
      <c r="I59" s="47" t="inlineStr">
        <is>
          <t>TBD</t>
        </is>
      </c>
      <c r="J59" s="47" t="inlineStr">
        <is>
          <t>Giuseppe</t>
        </is>
      </c>
      <c r="K59" s="47" t="inlineStr">
        <is>
          <t>Aperto</t>
        </is>
      </c>
      <c r="L59" s="47" t="inlineStr">
        <is>
          <t>A5</t>
        </is>
      </c>
      <c r="M59" s="47" t="inlineStr">
        <is>
          <t>Nato con D-116 (30/10/2026)</t>
        </is>
      </c>
    </row>
  </sheetData>
  <autoFilter ref="A1:M200"/>
  <conditionalFormatting sqref="F2:F200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200">
    <cfRule type="expression" rank="0" priority="5" equalAverage="0" aboveAverage="0" dxfId="8" text="" percent="0" bottom="0">
      <formula>$K2="Chiuso"</formula>
    </cfRule>
  </conditionalFormatting>
  <dataValidations count="4">
    <dataValidation sqref="D2:D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200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2026-10-30T18:58:40Z</dcterms:modified>
  <cp:revision>0</cp:revision>
</cp:coreProperties>
</file>