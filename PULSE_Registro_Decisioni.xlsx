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 | 30/10/2026 (D-108): con 6 pannelli la spinta sostenibile è ~5,5 h/giorno (non ~12): discesa più lunga, da rifare con GMAT in A6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 | 31/10/2026 (D-117): la Large è in due blocchi (motore + serbatoio, 2,2U, ~6 kg); il valore prudente di 250 mm in un blocco unico (V-01) è sostituito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 | 30/10/2026 (D-110, Proposta): termico di piattaforma a Giuseppe (modello termico unico del satellite) | 30/10/2026: D-110 approvata (termico di piattaforma a Giuseppe) | 30/10/2026 (D-113, Proposta): struttura e meccanismi, computer di bordo e cablaggi a Giuliano (R1); con l'approvazione di Giuseppe D-038 si chiude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 | 31/10/2026 (D-117, DR-67): con 2,04 kg di iodio il serbatoio entro ~70 mm dalla linea di spinta sposta il baricentro di ≤ 5,1 mm da pieno a vuoto (±2,6 mm attorno alla linea)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 | 31/10/2026 (D-118, Proposta): telescopio spostato anche contro la faccia +X (asse a X +43 mm) per fare posto alla REGULUS su −X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 | 30/10/2026 (D-106): i pannelli non sono perpendicolari all'asse ottico ma con normale opposta alla direzione di vista (ali a zenit): in safe Sole a ~180° dall'asse, condizione ancora più sicura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 | 30/10/2026 (D-106, Proposta): con il rollio fisso di 31–52° verso il Sole fuori dalle riprese la faccia dei radiatori guarda di più la Terra: vista della Terra da rifare (Giuseppe) | 30/10/2026 (D-106 Approvata, D-107): con il rollio fisso la faccia dei radiatori vede meno Terra (0,02–0,10) e il Sole per ~30 min/orbita a 70–78°: aree invariate; da spenti servono riscaldatori di sopravvivenza (D-107)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 | 30/10/2026 (D-107, Proposta): +1 W di riscaldatori di sopravvivenza per sensore notturno e scheda fuori dalle riprese: P-23 4/4/3/3/2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  <row r="107" s="26">
      <c r="A107" s="47" t="inlineStr">
        <is>
          <t>D-106</t>
        </is>
      </c>
      <c r="B107" s="48" t="n">
        <v>46325</v>
      </c>
      <c r="C107" s="47" t="inlineStr">
        <is>
          <t>A5</t>
        </is>
      </c>
      <c r="D107" s="47" t="inlineStr">
        <is>
          <t>Giuliano</t>
        </is>
      </c>
      <c r="E107" s="47" t="inlineStr">
        <is>
          <t>Potenza</t>
        </is>
      </c>
      <c r="F107" s="47" t="inlineStr">
        <is>
          <t>Configurazione dei pannelli (P3): ali dispiegabili fisse con la faccia attiva verso lo zenit, nel piano che contiene la velocità (di taglio rispetto al flusso), più la faccia a zenit del corpo dove libera; in attesa e in spinta rollio fisso di ~31–52° (TBC, valore ottimo che varia con le stagioni) attorno alla velocità verso il lato del Sole; per le riprese il satellite torna a nadir con gli slew già previsti. Fattore k caso peggiore 0,58: ~0,44 m² di pannello con Sole medio, ~0,56 m² con Sole alto (4,2–5,5 pannelli da 226 × 454 mm, a 270 W/m² fine vita, stima)</t>
        </is>
      </c>
      <c r="G107" s="47" t="inlineStr">
        <is>
          <t>P2: ali fisse a zenit senza rollio (k 0,44, 0,57–0,73 m²); P4: ala con motore di rotazione SADA (k 0,85, 0,29–0,38 m², ma ~70% dell'area dell'ala esposta alla velocità in luce, drag e ΔV ~3 volte); solo pannelli sul corpo (non bastano)</t>
        </is>
      </c>
      <c r="H107" s="47" t="inlineStr">
        <is>
          <t>Il rollio attorno alla velocità non cambia né l'area frontale né la direzione di spinta: ~25% di pannello in meno rispetto a P2 senza costi di drag; stessa soluzione di EarthNext (roll bias durante la spinta)</t>
        </is>
      </c>
      <c r="I107" s="47" t="inlineStr">
        <is>
          <t>Dimensionamento pannelli e batteria (A5.6.6), layout e inerzie con le ali (A5.7, D-043), ADCS: coppia di gradiente di gravità costante ~1,8·10⁻⁶ N·m a 40° (~0,010 N·m·s per orbita, scaricata dai magnetorquer; riserva DR-22 0,037), radiatori del payload (D-095: con il rollio la faccia vede di più la Terra), safe (DR-29, DR-37)</t>
        </is>
      </c>
      <c r="J107" s="47" t="inlineStr">
        <is>
          <t>DR-61, DR-29, DR-37, DR-22</t>
        </is>
      </c>
      <c r="K107" s="47" t="inlineStr">
        <is>
          <t>R-07, R-43</t>
        </is>
      </c>
      <c r="L107" s="47" t="inlineStr">
        <is>
          <t>Approvata</t>
        </is>
      </c>
      <c r="M107" s="47" t="n"/>
      <c r="N107" s="47" t="inlineStr">
        <is>
          <t>Chat del 30/10/2026 (A5.6.5); PULSE_EPS/A5.6/pannelli_config.py</t>
        </is>
      </c>
      <c r="O107" s="47" t="inlineStr">
        <is>
          <t>Proposta: cambia l'ipotesi di vista della Terra dei radiatori di Giuseppe (31% nel suo calcolo, D-095): da rifare con il rollio di 31–52°. Sole sui radiatori: mai in assetto nominale; con rollio di 45° verso il lato opposto al Sole a 64–77° dalla normale, solo durante le riprese (≤ ~8 min per passaggio diurno); in safe ≥ 75°. Safe: ali a zenit verso il Sole, telescopio a ~180° dal Sole (oltre i 52° del paraluce anche con coperchio bloccato aperto). Beta 19–32° (ora del nodo GMAT) | 30/10/2026 Giuseppe: approvata con D-107. Verifica radiatori (a5_calcoli/p7_radiatori_rollio.py, con le funzioni di PULSE_EPS/A5.6): il rollio verso il Sole inclina la faccia dei radiatori (-Y) verso lo ZENIT, non verso la Terra: vista della Terra 0,02–0,10 invece di 0,31; Sole sul radiatore ~28–31 min per orbita a 70–78° dalla normale (picco ~1 W); calore medio assorbito 26–35 W/m² invece di 70. Aree di D-095 invariate. Safe ok anche con coperchio bloccato aperto</t>
        </is>
      </c>
    </row>
    <row r="108" s="26">
      <c r="A108" s="47" t="inlineStr">
        <is>
          <t>D-107</t>
        </is>
      </c>
      <c r="B108" s="48" t="n">
        <v>46325</v>
      </c>
      <c r="C108" s="47" t="inlineStr">
        <is>
          <t>A5</t>
        </is>
      </c>
      <c r="D108" s="47" t="inlineStr">
        <is>
          <t>Giuseppe</t>
        </is>
      </c>
      <c r="E108" s="47" t="inlineStr">
        <is>
          <t>Termico</t>
        </is>
      </c>
      <c r="F108" s="47" t="inlineStr">
        <is>
          <t>Riscaldatori di sopravvivenza per il sensore notturno e la scheda payload quando sono spenti: ~0,6 W sul sensore e ~0,4 W sulla scheda (~1 W in tutto, TBC), con termostato, per non scendere sotto −30 °C (TBC, da confermare con i limiti dei datasheet). P-23 diventa 4 / 4 / 3 / 3 / 2 W (ripresa diurna / notturna / spinta / scarico / riposo-safe)</t>
        </is>
      </c>
      <c r="G108" s="47" t="inlineStr">
        <is>
          <t>Nessun riscaldatore (da spenti ~−33 °C a nadir e ~−43 °C con il rollio di D-106: sotto il minimo tipico dell'elettronica); interruttore termico o radiatore con collegamento variabile (toglie il consumo, ma è un componente in più: da valutare in Fase B)</t>
        </is>
      </c>
      <c r="H108" s="47" t="inlineStr">
        <is>
          <t>I radiatori di D-095 restano collegati anche a sensore e scheda spenti e li raffreddano. Stima con perdita verso l'interno di 0,017 W/K (interno 20 °C): ~1 W basta per −30 °C nel caso freddo con il rollio. Nelle riprese sensore e scheda sono accesi e non serve</t>
        </is>
      </c>
      <c r="I108" s="47" t="inlineStr">
        <is>
          <t>Bilancio di potenza P-23 (Giuliano: +1 W in spinta, scarico e riposo/safe), termico del payload (D-095, D-100), modello termico di Fase B</t>
        </is>
      </c>
      <c r="J108" s="47" t="inlineStr">
        <is>
          <t>DR-55, DR-57</t>
        </is>
      </c>
      <c r="K108" s="47" t="inlineStr">
        <is>
          <t>R-55, R-51</t>
        </is>
      </c>
      <c r="L108" s="47" t="inlineStr">
        <is>
          <t>Approvata</t>
        </is>
      </c>
      <c r="M108" s="47" t="n"/>
      <c r="N108" s="47" t="inlineStr">
        <is>
          <t>Chat del 30/10/2026 (A5.P7 bis, risposta a D-106)</t>
        </is>
      </c>
      <c r="O108" s="47" t="inlineStr">
        <is>
          <t>Proposta: cambia P-23 nel bilancio di Giuliano. Calcolo in a5_calcoli/p7_radiatori_rollio.py. In Fase B si può sostituire con un interruttore termico | 30/10/2026 Giuliano: approvata. P-23 a 4/4/3/3/2 W: +1 W fisso fuori dalle riprese (~+29 Wh/giorno con i margini, ~4% del giorno di routine); effetto sulla spinta sostenibile con 6 pannelli (D-108) da verificare in A5.6.7 | 30/10/2026 Giuliano: approvata. Effetto sul bilancio (con margini): riposo da 18,9 a 20,3 W, giorno di routine da 775 a 809 Wh, Sole alto da 1016 a 1050 Wh; 6 pannelli reggono 4,9 h/giorno di spinta (prima 5,5) contro 4,2 necessarie; batteria 4S3P al 21% a fine vita, 31% con una stringa guasta</t>
        </is>
      </c>
    </row>
    <row r="109" s="26">
      <c r="A109" s="47" t="inlineStr">
        <is>
          <t>D-108</t>
        </is>
      </c>
      <c r="B109" s="48" t="n">
        <v>46325</v>
      </c>
      <c r="C109" s="47" t="inlineStr">
        <is>
          <t>A5</t>
        </is>
      </c>
      <c r="D109" s="47" t="inlineStr">
        <is>
          <t>Giuliano</t>
        </is>
      </c>
      <c r="E109" s="47" t="inlineStr">
        <is>
          <t>Potenza</t>
        </is>
      </c>
      <c r="F109" s="47" t="inlineStr">
        <is>
          <t>Pannelli dimensionati sul Sole medio (A, come D-020 e D-033): 6 ali da 226 × 454 mm con 9 celle a tripla giunzione ciascuna (classe Azur Space 3G30-Advanced), 21,6 W per pannello a Sole perpendicolare a fine vita (5·10¹⁴ e/cm², 70 °C, perdite 5%), 74,5 W medi in luce con la configurazione D-106 (k 0,575). Regge 5,5 h/giorno di spinta contro 4,2 h necessarie (+31%). Valore provvisorio, da rivedere con la data di lancio insieme a spinta e propellente</t>
        </is>
      </c>
      <c r="G109" s="47" t="inlineStr">
        <is>
          <t>B: 8 pannelli per il Sole alto (10 h/giorno di spinta, +2 pannelli da stivare); C: 7 pannelli (Sole alto senza margine, 7,7 contro 7,8 h)</t>
        </is>
      </c>
      <c r="H109" s="47" t="inlineStr">
        <is>
          <t>Con Sole alto il primo limite è il propellente (D-034, ~22 mesi): dimensionare solo la potenza sul Sole alto non salva la missione. Tutti i budget sullo stesso caso; con un lancio dal 2027 il ciclo solare scende</t>
        </is>
      </c>
      <c r="I109" s="47" t="inlineStr">
        <is>
          <t>Massa e stivaggio delle ali (A5.7: verificare anche il posto per 8 come riserva), batteria (D-109), bilancio orbita per orbita (A5.6.7), discesa iniziale (D-021: 5,5 h/giorno di spinta invece di ~12, discesa più lunga, da rifare in A6), operazioni con Sole alto</t>
        </is>
      </c>
      <c r="J109" s="47" t="inlineStr">
        <is>
          <t>DR-62</t>
        </is>
      </c>
      <c r="K109" s="47" t="inlineStr">
        <is>
          <t>R-56, R-07</t>
        </is>
      </c>
      <c r="L109" s="47" t="inlineStr">
        <is>
          <t>Provvisoria</t>
        </is>
      </c>
      <c r="M109" s="47" t="n"/>
      <c r="N109" s="47" t="inlineStr">
        <is>
          <t>Chat del 30/10/2026 (A5.6.6); PULSE_EPS/A5.6/dimensionamento_pannelli.py</t>
        </is>
      </c>
      <c r="O109" s="47" t="inlineStr">
        <is>
          <t>Datasheet Azur 3G30-Advanced (bdb_00010894-02-00): 3,08 W BOL (29,0%), 2,85 W a 5E14, dVmp/dT −7,1 mV/°C; CIC 13,1 g (118 g di celle per pannello). Impaccamento 0,68 (9 celle su 226 × 454 mm). 5E14 prudente per 2 anni a 302 km (fluenza vera in Fase B). Conti con P-23 di D-100 (2 W a riposo): D-107 di Giuseppe (+1 W, approvata) da includere in A5.6.7. Numerata D-108 perché D-107 era già usata da Giuseppe | 30/10/2026 (D-107 approvata, +1 W): spinta sostenibile con 6 pannelli 4,9 h/giorno (+17% su 4,2); Sole medio richiede 5,70 pannelli, Sole alto 7,28</t>
        </is>
      </c>
    </row>
    <row r="110" s="26">
      <c r="A110" s="47" t="inlineStr">
        <is>
          <t>D-109</t>
        </is>
      </c>
      <c r="B110" s="48" t="n">
        <v>46325</v>
      </c>
      <c r="C110" s="47" t="inlineStr">
        <is>
          <t>A5</t>
        </is>
      </c>
      <c r="D110" s="47" t="inlineStr">
        <is>
          <t>Giuliano</t>
        </is>
      </c>
      <c r="E110" s="47" t="inlineStr">
        <is>
          <t>Potenza</t>
        </is>
      </c>
      <c r="F110" s="47" t="inlineStr">
        <is>
          <t>Batteria (B): Li-ion 4S3P, 12 celle 18650 da 2,6 Ah (classe GomSpace NanoPower), 112 Wh nominali, bus non regolato 12–16,8 V come EarthNext. Profondità di scarica nel caso peggiore (ripresa notturna e contatto al buio, 18,0 Wh dalla batteria) 20% a fine vita (capacità all'80%), 30% con una stringa guasta. Autonomia in detumbling con ali chiuse ~5,3 h. La spinta si programma nella parte centrale della luce, dove le ali producono di più, così la batteria non scarica durante la spinta (verifica in A5.6.7)</t>
        </is>
      </c>
      <c r="G110" s="47" t="inlineStr">
        <is>
          <t>A: 4S2P (75 Wh, 30% a fine vita ma 60% con una stringa guasta, 3,5 h di autonomia); C: 4S4P (150 Wh, 15%/20%, 4 celle in più senza bisogno)</t>
        </is>
      </c>
      <c r="H110" s="47" t="inlineStr">
        <is>
          <t>Unica opzione che resta nella fascia di scarica usata in LEO (20–40%) anche con una stringa guasta (criterio di EarthNext); ~11.600 cicli in 2 anni, oltre i 10.000 provati dalla NASA a 20–40%</t>
        </is>
      </c>
      <c r="I110" s="47" t="inlineStr">
        <is>
          <t>Massa e volume della batteria (A5.7), termico di piattaforma (celle tiepide, ~10–25 °C indicativo TBC: temperatura interna proposta ~15–20 °C, compatibile con il telescopio, D-100), PCDU e bus (REGULUS a 12 V d'ingresso: compatibilità con 12–16,8 V da verificare con T4i), riscaldatori della batteria (P-24, TBD)</t>
        </is>
      </c>
      <c r="J110" s="47" t="inlineStr">
        <is>
          <t>DR-63</t>
        </is>
      </c>
      <c r="K110" s="47" t="inlineStr">
        <is>
          <t>R-07</t>
        </is>
      </c>
      <c r="L110" s="47" t="inlineStr">
        <is>
          <t>Approvata</t>
        </is>
      </c>
      <c r="M110" s="47" t="n"/>
      <c r="N110" s="47" t="inlineStr">
        <is>
          <t>Chat del 30/10/2026 (A5.6.6); PULSE_EPS/A5.6/dimensionamento_batteria.py</t>
        </is>
      </c>
      <c r="O110" s="47" t="inlineStr">
        <is>
          <t>Fonti: NASA, An Update on the Lithium-Ion Cell LEO Verification Test Program (20/30/40% DoD, &gt; 10.000 cicli); RF Essentials (LEO 20–40% DoD); AAU (GomSpace 18650 2,6 Ah). Rendimento batteria→carichi 0,90 e perdita di capacità 20% a fine vita: stime TBC. Termico di piattaforma ancora senza responsabile (D-038) | 30/10/2026 (D-107 approvata, +1 W): caso peggiore al buio 16,9 Wh ai carichi (18,8 dalla batteria): scarica 21% a fine vita, 31% con una stringa guasta (ancora nella fascia LEO 20–40%); autonomia in detumbling ~4,8 h | 30/10/2026 (A5.6.7): simulazione conferma 20,4% e 30,7%; DR-63 riscritto con D-111</t>
        </is>
      </c>
    </row>
    <row r="111" s="26">
      <c r="A111" s="47" t="inlineStr">
        <is>
          <t>D-110</t>
        </is>
      </c>
      <c r="B111" s="48" t="n">
        <v>46325</v>
      </c>
      <c r="C111" s="47" t="inlineStr">
        <is>
          <t>A5</t>
        </is>
      </c>
      <c r="D111" s="47" t="inlineStr">
        <is>
          <t>Giuseppe</t>
        </is>
      </c>
      <c r="E111" s="47" t="inlineStr">
        <is>
          <t>Termico</t>
        </is>
      </c>
      <c r="F111" s="47" t="inlineStr">
        <is>
          <t>Responsabile del termico di piattaforma (chiude D-038 per la voce termico): Giuseppe segue il termico di tutto il satellite con un modello unico (payload + piattaforma). Giuliano fornisce per i suoi componenti (batteria, motore REGULUS, ruote, computer di bordo, EPS, radio) potenze dissipate per modo, posizioni nel layout e limiti di temperatura. Temperatura interna di progetto ~15–20 °C (TBC, proposta di Giuliano, coerente con la regolazione del telescopio di D-100)</t>
        </is>
      </c>
      <c r="G111" s="47" t="inlineStr">
        <is>
          <t>B: Giuliano responsabile del termico di piattaforma e Giuseppe del solo payload, con interfaccia la temperatura interna (due modelli per un sistema unico; carico di lavoro di Giuliano già alto); C: rimandare alla Fase B (resta un responsabile mancante alla PRR)</t>
        </is>
      </c>
      <c r="H111" s="47" t="inlineStr">
        <is>
          <t>Il termico è un sistema unico: la parte più sensibile è il telescopio (fuoco entro ±11 K, DR-57) e il calore del motore e della batteria lo influenza (D-099). Giuseppe ha già metodo e script (radiatori, riscaldatori, a5_calcoli/p7_*.py) e la parte payload di A5 è chiusa</t>
        </is>
      </c>
      <c r="I111" s="47" t="inlineStr">
        <is>
          <t>Budget M-24 e P-24 (responsabile Giuseppe), riscaldatori della batteria (D-104, valore dal modello termico), layout A5.7 (posizioni e collegamenti termici), A6 (rischi termici), Fase B (modello termico completo)</t>
        </is>
      </c>
      <c r="J111" s="47" t="inlineStr">
        <is>
          <t>DR-57, DR-64</t>
        </is>
      </c>
      <c r="K111" s="47" t="inlineStr">
        <is>
          <t>R-24, R-55</t>
        </is>
      </c>
      <c r="L111" s="47" t="inlineStr">
        <is>
          <t>Approvata</t>
        </is>
      </c>
      <c r="M111" s="47" t="n"/>
      <c r="N111" s="47" t="inlineStr">
        <is>
          <t>Chat del 30/10/2026 (dopo A5.P8)</t>
        </is>
      </c>
      <c r="O111" s="47" t="inlineStr">
        <is>
          <t>Proposta: cambia le responsabilità di D-028/D-038 e riguarda i componenti di Giuliano. Restano aperti in D-038: struttura e meccanismi, computer di bordo, cablaggi | 30/10/2026 Giuliano: approvata. Dati di Giuliano per il modello termico (potenza dissipata per modo e limiti di temperatura) nel report A5.6 (A5.6.8); posizioni in A5.7</t>
        </is>
      </c>
    </row>
    <row r="112" s="26">
      <c r="A112" s="47" t="inlineStr">
        <is>
          <t>D-111</t>
        </is>
      </c>
      <c r="B112" s="48" t="n">
        <v>46325</v>
      </c>
      <c r="C112" s="47" t="inlineStr">
        <is>
          <t>A5</t>
        </is>
      </c>
      <c r="D112" s="47" t="inlineStr">
        <is>
          <t>Giuliano</t>
        </is>
      </c>
      <c r="E112" s="47" t="inlineStr">
        <is>
          <t>Potenza</t>
        </is>
      </c>
      <c r="F112" s="47" t="inlineStr">
        <is>
          <t>Valore di DR-63 riscritto (a): profondità di scarica della batteria ≤ 25% a fine vita e ≤ 35% con una stringa guasta. La simulazione dello stato di carica (A5.6.7, giorno peggiore, fine vita, carichi con margini) dà 20,4% e 30,7%; batteria 4S3P invariata (D-109)</t>
        </is>
      </c>
      <c r="G112" s="47" t="inlineStr">
        <is>
          <t>b: batteria 4S4P (21% con una stringa guasta, +4 celle per un caso di guasto); c: tenere 30% e spegnere carichi in caso di guasto (regola in più)</t>
        </is>
      </c>
      <c r="H112" s="47" t="inlineStr">
        <is>
          <t>Il 30% era un valore tondo scelto da noi (TBC), non un limite fisico; 35% resta nella fascia LEO 20–40% e nelle prove NASA (fino al 40%, oltre 10.000 cicli)</t>
        </is>
      </c>
      <c r="I112" s="47" t="inlineStr">
        <is>
          <t>DR-63, invecchiamento della batteria in caso di guasto (un po' più rapido), prova di cicli in Fase C</t>
        </is>
      </c>
      <c r="J112" s="47" t="inlineStr">
        <is>
          <t>DR-63</t>
        </is>
      </c>
      <c r="K112" s="47" t="inlineStr">
        <is>
          <t>R-07</t>
        </is>
      </c>
      <c r="L112" s="47" t="inlineStr">
        <is>
          <t>Approvata</t>
        </is>
      </c>
      <c r="M112" s="47" t="n"/>
      <c r="N112" s="47" t="inlineStr">
        <is>
          <t>Chat del 30/10/2026 (A5.6.7); PULSE_EPS/A5.6/simulazione_soc.py</t>
        </is>
      </c>
      <c r="O112" s="47" t="inlineStr">
        <is>
          <t>Simulazione: 3 giorni, passo 20 s, giorno 150 (fine maggio 2026, rollio 32°, k 0,573), 6 ali a fine vita, batteria all'80% (89,8 Wh; 59,9 Wh con 2 stringhe). Routine: SoC minimo 79,6%, avanzo 136 Wh/giorno; emergenza 79,6%; stringa guasta 69,3%; safe 84,0%. Numerata D-111 perché D-110 era già usata da Giuseppe</t>
        </is>
      </c>
    </row>
    <row r="113" s="26">
      <c r="A113" s="47" t="inlineStr">
        <is>
          <t>D-112</t>
        </is>
      </c>
      <c r="B113" s="48" t="n">
        <v>46325</v>
      </c>
      <c r="C113" s="47" t="inlineStr">
        <is>
          <t>A5</t>
        </is>
      </c>
      <c r="D113" s="47" t="inlineStr">
        <is>
          <t>Giuliano</t>
        </is>
      </c>
      <c r="E113" s="47" t="inlineStr">
        <is>
          <t>Potenza</t>
        </is>
      </c>
      <c r="F113" s="47" t="inlineStr">
        <is>
          <t>Regola di bordo per proteggere la batteria (A): il motore parte solo se lo stato di carica è ≥ 90% e si spegne se scende sotto l'80%; la spinta programmata che non parte si recupera nelle orbite successive. Gestione a più livelli (sotto il 70% stop alle riprese, sotto il 50% safe, valori TBD) come requisito per la Fase C (C)</t>
        </is>
      </c>
      <c r="G113" s="47" t="inlineStr">
        <is>
          <t>B: nessuna regola automatica, pianificazione solo da terra (un errore può svuotare la batteria); C subito: regola completa a più livelli (rimandata alla Fase C, FDIR)</t>
        </is>
      </c>
      <c r="H113" s="47" t="inlineStr">
        <is>
          <t>Con Sole alto e 7,8 h di spinta programmate la batteria si svuota in meno di un giorno (deficit ~109 Wh/giorno); con la regola la spinta si riduce da sola a ~5,6 h/giorno, SoC minimo 73%. In routine la regola non toglie spinta (4,2 h, SoC minimo 79,6%: le scariche sono al buio, la spinta a metà luce a batteria quasi piena)</t>
        </is>
      </c>
      <c r="I113" s="47" t="inlineStr">
        <is>
          <t>Software di bordo (gestione motore e batteria), FDIR (Fase C), operazioni con Sole alto (R-56: quota mantenuta solo in parte), piano di spinta</t>
        </is>
      </c>
      <c r="J113" s="47" t="inlineStr">
        <is>
          <t>DR-65, DR-66</t>
        </is>
      </c>
      <c r="K113" s="47" t="inlineStr">
        <is>
          <t>R-56, R-07</t>
        </is>
      </c>
      <c r="L113" s="47" t="inlineStr">
        <is>
          <t>Approvata</t>
        </is>
      </c>
      <c r="M113" s="47" t="n"/>
      <c r="N113" s="47" t="inlineStr">
        <is>
          <t>Chat del 30/10/2026 (A5.6.7); PULSE_EPS/A5.6/simulazione_soc.py</t>
        </is>
      </c>
      <c r="O113" s="47" t="inlineStr">
        <is>
          <t>Valori 90/80% sopra il minimo della routine (79,6% al buio, quando il motore è comunque spento per D-105)</t>
        </is>
      </c>
    </row>
    <row r="114" s="26">
      <c r="A114" s="47" t="inlineStr">
        <is>
          <t>D-113</t>
        </is>
      </c>
      <c r="B114" s="48" t="n">
        <v>46325</v>
      </c>
      <c r="C114" s="47" t="inlineStr">
        <is>
          <t>A5</t>
        </is>
      </c>
      <c r="D114" s="47" t="inlineStr">
        <is>
          <t>Giuliano</t>
        </is>
      </c>
      <c r="E114" s="47" t="inlineStr">
        <is>
          <t>Gestione</t>
        </is>
      </c>
      <c r="F114" s="47" t="inlineStr">
        <is>
          <t>Responsabili delle voci di piattaforma rimaste aperte in D-038 (R1): struttura e meccanismi (telaio, apertura delle ali, sganci), computer di bordo di piattaforma e cablaggi a Giuliano. L'interfaccia tra computer di bordo e scheda payload (comandi, coda dati D-092) resta in comune con Giuseppe. Con D-087 (EPS) e D-110 (termico) chiude D-038</t>
        </is>
      </c>
      <c r="G114" s="47" t="inlineStr">
        <is>
          <t>R2: computer di bordo a Giuseppe e cablaggi in comune (Giuseppe segue già il termico di tutto il satellite, D-110); R3: computer di bordo diviso, hardware a Giuliano e software/dati a Giuseppe (una voce con due responsabili)</t>
        </is>
      </c>
      <c r="H114" s="47" t="inlineStr">
        <is>
          <t>In Fase A struttura, meccanismi e cablaggi sono scelte geometriche che stanno dentro il layout (A5.7, Giuliano); i cablaggi sono una quota del 5% della massa (D-035); il computer di bordo fa girare ADCS, FDIR e gestione della spinta e ha già un valore provvisorio scelto da Giuliano (D-104)</t>
        </is>
      </c>
      <c r="I114" s="47" t="inlineStr">
        <is>
          <t>D-028, D-038; file dei budget (responsabile di M-17, M-21, M-22, M-25, P-17, P-21, P-22, V-06); A5.7.2 (lista componenti); Fase B (interfaccia computer di bordo – scheda payload)</t>
        </is>
      </c>
      <c r="J114" s="47" t="inlineStr">
        <is>
          <t>DR-14</t>
        </is>
      </c>
      <c r="K114" s="47" t="n"/>
      <c r="L114" s="47" t="inlineStr">
        <is>
          <t>Proposta</t>
        </is>
      </c>
      <c r="M114" s="47" t="n"/>
      <c r="N114" s="47" t="inlineStr">
        <is>
          <t>Chat del 30/10/2026 (A5.7.1)</t>
        </is>
      </c>
      <c r="O114" s="47" t="inlineStr">
        <is>
          <t>Proposta: cambia la divisione del lavoro in comune (D-028/D-038), da approvare da Giuseppe. Nel file dei budget i responsabili restano TBC fino all'approvazione</t>
        </is>
      </c>
    </row>
    <row r="115" s="26">
      <c r="A115" s="47" t="inlineStr">
        <is>
          <t>D-114</t>
        </is>
      </c>
      <c r="B115" s="48" t="n">
        <v>46325</v>
      </c>
      <c r="C115" s="47" t="inlineStr">
        <is>
          <t>A5</t>
        </is>
      </c>
      <c r="D115" s="47" t="inlineStr">
        <is>
          <t>Giuliano</t>
        </is>
      </c>
      <c r="E115" s="47" t="inlineStr">
        <is>
          <t>Struttura</t>
        </is>
      </c>
      <c r="F115" s="47" t="inlineStr">
        <is>
          <t>Sistema di riferimento del satellite (S2) per layout, baricentro e inerzie: origine nel centro geometrico dell'involucro tra i binari (226,3 × 226,3 × 454 mm); +X verso la velocità (direzione di spinta, ugello della REGULUS sulla faccia −X); +Y normale all'orbita verso il lato del Sole (β &gt; 0; faccia −Y dei radiatori, D-095); +Z verso lo zenit lungo l'asse lungo (il telescopio guarda verso −Z). In assetto nominale coincide con il riferimento orbitale di A5.6. Conversione dai dati del payload: Z = Z dalla faccia a nadir − 227 mm, X e Y invariati</t>
        </is>
      </c>
      <c r="G115" s="47" t="inlineStr">
        <is>
          <t>S1: origine al centro della faccia a nadir, come il CSV del payload (ogni verifica di DR-14 da convertire); S3: centro geometrico con +Z nadir e +Y dal lato opposto al Sole, come A5.3 (inverte i segni di Y e Z rispetto ad A5.6 e al payload)</t>
        </is>
      </c>
      <c r="H115" s="47" t="inlineStr">
        <is>
          <t>DR-14 (limiti del deployer rispetto al centro geometrico) e D-047 si verificano direttamente; inerzie già attorno al centro; assi uguali a quelli di A5.6 e del payload di Giuseppe, quindi nessun cambio di segno</t>
        </is>
      </c>
      <c r="I115" s="47" t="inlineStr">
        <is>
          <t>A5.7.4–A5.7.8 (layout, baricentro, inerzie); dati del payload (PULSE_payload_masse_posizioni.csv: baricentro del payload a Z +49,5 mm, Y −28,9 mm); simulazione a 3 assi della Fase B (A5.3 usava Z a nadir, modello a un asse: nessun numero da rifare)</t>
        </is>
      </c>
      <c r="J115" s="47" t="inlineStr">
        <is>
          <t>DR-14, DR-21</t>
        </is>
      </c>
      <c r="K115" s="47" t="inlineStr">
        <is>
          <t>R-26</t>
        </is>
      </c>
      <c r="L115" s="47" t="inlineStr">
        <is>
          <t>Proposta</t>
        </is>
      </c>
      <c r="M115" s="47" t="n"/>
      <c r="N115" s="47" t="inlineStr">
        <is>
          <t>Chat del 30/10/2026 (A5.7.1)</t>
        </is>
      </c>
      <c r="O115" s="47" t="inlineStr">
        <is>
          <t>Proposta: cambia l'origine (non i valori) dei dati di Giuseppe. Le facce si chiamano ±X, ±Y, ±Z. Il collegamento con il riferimento del deployer si fa in Fase B con la scelta del lancio (LR-01)</t>
        </is>
      </c>
    </row>
    <row r="116" s="26">
      <c r="A116" s="47" t="inlineStr">
        <is>
          <t>D-115</t>
        </is>
      </c>
      <c r="B116" s="48" t="n">
        <v>46325</v>
      </c>
      <c r="C116" s="47" t="inlineStr">
        <is>
          <t>A5</t>
        </is>
      </c>
      <c r="D116" s="47" t="inlineStr">
        <is>
          <t>Giuseppe</t>
        </is>
      </c>
      <c r="E116" s="47" t="inlineStr">
        <is>
          <t>Termico</t>
        </is>
      </c>
      <c r="F116" s="47" t="inlineStr">
        <is>
          <t>Casi di progetto del termico del satellite (A5.8.1). Caldo: gennaio, Sole 1414 W/m², albedo 0,35, IR Terra 261 W/m², eclisse 34,7 min, vernici a fine vita (α 0,35), 22 min di spinta in ogni orbita (verifica a 29 min), riprese e scarichi, rollio 31–52°. Freddo operativo: giugno-luglio, Sole 1322 W/m², albedo 0,18, IR 218 W/m², eclisse 36,0 min, vernici nuove (α 0,20), giorno senza spinta (attesa). Freddo safe: safe per più giorni, ali verso il Sole. Detumbling con ali chiuse ≤ ~4,8 h (caso particolare). Calore del REGULUS che entra nel satellite: 15 W in spinta (8–20 W, TBC), con verifica a 48,5 W</t>
        </is>
      </c>
      <c r="G116" s="47" t="inlineStr">
        <is>
          <t>Calore del motore: 48,5 W tutti dentro il satellite (radiatore quasi doppio, più riscaldatori al freddo); 20 W (limite alto della stima). Caso caldo: spinta in ogni periodo di luce o 7,8 h di fila (superati dal profilo di A5.6.7, spinta distribuita su tutte le orbite)</t>
        </is>
      </c>
      <c r="H116" s="47" t="inlineStr">
        <is>
          <t>Il REGULUS produce ~48,5 W di calore (rendimento di spinta 3%), ma la parte calda (~355 °C) lo smaltisce nello spazio con un radiatore sulla faccia dell'ugello a ~275 °C (Bellomo et al., CEAS Space J. 2022): 29–40 W stimati; al satellite passa la parte fredda (elettronica, linea dello iodio). Profilo di spinta e casi freddi da Giuliano (A5.6.7, chat del 30/10/2026). Albedo e IR: valori tipici per orbite molto inclinate (Gilmore), TBC</t>
        </is>
      </c>
      <c r="I116" s="47" t="inlineStr">
        <is>
          <t>Dimensionamento del radiatore di piattaforma e dei riscaldatori (A5.8.3–A5.8.4), budget P-24 e M-24, verifica in A5.7.1 di Giuliano (W dall'attacco del REGULUS, ugello su −X, preriscaldamento e raffreddamento)</t>
        </is>
      </c>
      <c r="J116" s="47" t="inlineStr">
        <is>
          <t>DR-64, DR-57</t>
        </is>
      </c>
      <c r="K116" s="47" t="inlineStr">
        <is>
          <t>R-57</t>
        </is>
      </c>
      <c r="L116" s="47" t="inlineStr">
        <is>
          <t>Approvata</t>
        </is>
      </c>
      <c r="M116" s="47" t="n"/>
      <c r="N116" s="47" t="inlineStr">
        <is>
          <t>Chat del 30/10/2026 (A5.8.1); a5_8_termico/a5_8_1_ingressi.py</t>
        </is>
      </c>
      <c r="O116" s="47" t="inlineStr">
        <is>
          <t>Valore del motore concordato con Giuliano (resta TBC fino ad A5.7.1). Calore all'interno per modo con motore 15 W: attesa 21,4; ripresa diurna 26,4; notturna 21,4; spinta 39,4; scarico 35,1; safe 24,4; detumbling 19,4 W (con perdite EPS e batteria di A5.6.7) | 31/10/2026 (A5.7.3, D-117): W dall'attacco del REGULUS non pubblicati, 15 W restano TBC; attacco 73–75 °C con satellite a +70 °C; ugello e radiatore del motore sulla faccia −X; ambiente richiesto −25/+70 °C; PSH/PSC esistono (EarthNext) ma senza durate e potenze pubbliche (R-59). L'articolo di Bellomo et al. è del 2021</t>
        </is>
      </c>
    </row>
    <row r="117" s="26">
      <c r="A117" s="47" t="inlineStr">
        <is>
          <t>D-116</t>
        </is>
      </c>
      <c r="B117" s="48" t="n">
        <v>46325</v>
      </c>
      <c r="C117" s="47" t="inlineStr">
        <is>
          <t>A5</t>
        </is>
      </c>
      <c r="D117" s="47" t="inlineStr">
        <is>
          <t>Giuseppe</t>
        </is>
      </c>
      <c r="E117" s="47" t="inlineStr">
        <is>
          <t>Termico</t>
        </is>
      </c>
      <c r="F117" s="47" t="inlineStr">
        <is>
          <t>Architettura termica della piattaforma (A2): corpo coperto da coperte isolanti (MLI), radiatore fisso con vernice bianca sulla faccia −Y (~810 cm², ~970 con +20% di calore, TBC, accanto ai radiatori del payload di D-095), riscaldatori con termostato (batteria e interno). Interno ammesso 15–25 °C (DR-64 allargato da 15–20). Radiatore a persiane (louver) come riserva se l'energia dei riscaldatori non chiude il bilancio (A5.8.4)</t>
        </is>
      </c>
      <c r="G117" s="47" t="inlineStr">
        <is>
          <t>A: stessa architettura con interno 15–20 °C (radiatore ~890/1070 cm², non entra sulla sola −Y con il margine; riscaldatori ~7 W in un giorno di routine d'estate, ~180 Wh/giorno, oltre l'avanzo di 136 Wh/giorno di D-111). B: radiatore a persiane (~1080 cm², riscaldatori ~0 W, +0,3 kg, poche prove su CubeSat). C: pareti che irradiano senza MLI (escursione interna ~32 K, non rispetta DR-64)</t>
        </is>
      </c>
      <c r="H117" s="47" t="inlineStr">
        <is>
          <t>Soluzione più collaudata; +5 K in alto costano poco (batteria in carica fino a +45 °C; telescopio regolato a ~20 °C ± 11 K, DR-57) e riducono area e riscaldatori (stima di primo ordine a un nodo: routine d'estate ~5 W, ~120 Wh/giorno; giorno senza spinta ~11 W; safe ~9 W). La −Y è l'unica faccia buona: +Y vede il Sole, +Z ha celle e star tracker, +X ha l'ossigeno atomico, −X il radiatore caldo dell'ugello</t>
        </is>
      </c>
      <c r="I117" s="47" t="inlineStr">
        <is>
          <t>Bilancio di potenza (P-24, Giuliano: energia dei riscaldatori contro l'avanzo di D-111), layout A5.7 (area libera sulla −Y ~837 cm²; eventuale parte su −X), batteria (D-109: 15–25 °C), telescopio (D-100), budget M-24</t>
        </is>
      </c>
      <c r="J117" s="47" t="inlineStr">
        <is>
          <t>DR-64, DR-57, DR-68</t>
        </is>
      </c>
      <c r="K117" s="47" t="inlineStr">
        <is>
          <t>R-58, R-57</t>
        </is>
      </c>
      <c r="L117" s="47" t="inlineStr">
        <is>
          <t>Approvata</t>
        </is>
      </c>
      <c r="M117" s="47" t="n"/>
      <c r="N117" s="47" t="inlineStr">
        <is>
          <t>Chat del 30/10/2026 (A5.8.2); a5_8_termico/a5_8_2_architettura.py</t>
        </is>
      </c>
      <c r="O117" s="47" t="inlineStr">
        <is>
          <t>Proposta: cambia DR-64 (valore proposto da Giuliano) e porta P-24 nel suo bilancio di potenza. Numeri da affinare con il modello a nodi (A5.8.3): nel caso freddo vernici nuove anche a fine vita (prudente) | 31/10/2026 Giuliano: approvata (A) con un tetto di potenza: riscaldatori di piattaforma ≤ 4 W medi al bus, margini compresi (≈ 2,8 W nominali), nel giorno peggiore di routine (DR-68). Verifica sul modello A5.6.7 con la regola D-112 (PULSE_Layout/A5.7/riscaldatori_potenza.py): spinta sostenibile 4,4 h con 4 W, 4,3 h con 4,4 W (limite), 4,0 h con 5 W e 3,0 h con 7,2 W (5 W con margini), contro 4,2 h necessarie. L'avanzo di 136 Wh/giorno (D-111) non è usabile tutto: è energia in luce a batteria piena, i riscaldatori lavorano anche al buio. Casi freddi ok (senza spinta 11 W: SoC min 66%; safe 9 W: 76%). Se A5.8.3 non sta nel tetto: radiatore a persiane. Layout: −Y libera ~837 cm² (basta per 810, non per 970); su −X ugello e radiatore del REGULUS al centro (D-118): eventuale parte di radiatore lontano da lì; ali chiuse né su −Y né al centro di −X (A5.7.5)</t>
        </is>
      </c>
    </row>
    <row r="118" s="26">
      <c r="A118" s="47" t="inlineStr">
        <is>
          <t>D-117</t>
        </is>
      </c>
      <c r="B118" s="48" t="n">
        <v>46326</v>
      </c>
      <c r="C118" s="47" t="inlineStr">
        <is>
          <t>A5</t>
        </is>
      </c>
      <c r="D118" s="47" t="inlineStr">
        <is>
          <t>Giuliano</t>
        </is>
      </c>
      <c r="E118" s="47" t="inlineStr">
        <is>
          <t>Propulsione</t>
        </is>
      </c>
      <c r="F118" s="47" t="inlineStr">
        <is>
          <t>Modello di riferimento della REGULUS-50-I2 Large per layout e termico (M2): due blocchi separati collegati dalla linea dello iodio, (1) motore + elettronica con ugello e radiatore sulla stessa faccia, (2) serbatoio dello iodio; sezione ~94 × 95 mm come la famiglia REGULUS, 2,2U e ~6 kg in tutto; profondità dei due blocchi TBC (ICD T4i). Iodio a bordo 2,04 kg (11.000 N·s / 550 s). Dati termici pubblici: caso caldo con satellite a +70 °C camera 351–355 °C, radiatore 273–279 °C, elettronica 87–90 °C (limite 85 °C), linea dello iodio 84–92 °C (~95 °C in funzione, &lt; 115 °C), attacco 73–75 °C; ambiente richiesto attorno all'unità −25/+70 °C (prova −40/+80 °C). W che passano dall'attacco e durate/potenze di preriscaldamento e raffreddamento (PSH/PSC/PSTM) non pubblicati</t>
        </is>
      </c>
      <c r="G118" s="47" t="inlineStr">
        <is>
          <t>M1: blocco unico 93,8 × 95 × 250 mm (valore prudente di V-01: forma sbagliata, impedisce di mettere il serbatoio vicino alla linea di spinta); M3: fermarsi fino all'ICD di T4i (blocca A5.7.4 e il termico A5.8)</t>
        </is>
      </c>
      <c r="H118" s="47" t="inlineStr">
        <is>
          <t>La foto e la tabella di EarthNext (Fig. 7, Tab. 3: stessa unità) mostrano due blocchi; il datasheet T4i dà 93,8 × 95 × 151 mm e 2,5 kg solo per la versione da 3.000 N·s; i dati termici vengono da Bellomo et al. (CEAS Space J., 2021). Due blocchi permettono di separare il motore (vincolato alla faccia −X e alla linea di spinta) dal serbatoio (che sposta il baricentro con il consumo)</t>
        </is>
      </c>
      <c r="I118" s="47" t="inlineStr">
        <is>
          <t>V-01 (budget di volume), layout A5.7.4 (blocco motore su −X, serbatoio vicino alla linea di spinta, DR-67), baricentro A5.7.7, termico (D-115, R-57: ugello e radiatore su −X, 15 W dall'attacco restano TBC), bilancio di potenza se PSH/PSC pesano (R-59), richiesta ICD a T4i</t>
        </is>
      </c>
      <c r="J118" s="47" t="inlineStr">
        <is>
          <t>DR-21, DR-67</t>
        </is>
      </c>
      <c r="K118" s="47" t="inlineStr">
        <is>
          <t>R-57, R-59</t>
        </is>
      </c>
      <c r="L118" s="47" t="inlineStr">
        <is>
          <t>Approvata</t>
        </is>
      </c>
      <c r="M118" s="47" t="n"/>
      <c r="N118" s="47" t="inlineStr">
        <is>
          <t>Chat del 31/10/2026 (A5.7.3); PULSE_Layout/A5.7/regulus_vincoli.py; t4innovation.com (REGULUS-50-I2); Bellomo et al., CEAS Space J. 2021, doi 10.1007/s12567-021-00374-4; EarthNext §3.2, §4.1</t>
        </is>
      </c>
      <c r="O118" s="47" t="inlineStr">
        <is>
          <t>Riguarda solo la parte di Giuliano (propulsione); al termico di Giuseppe passano solo dati (nessun suo valore cambia). Da chiedere a T4i: profondità dei due blocchi, posizione dell'attacco, W e temperatura all'attacco, PSH/PSC/PSTM (durata e potenza), accensioni brevi ripetute (16 al giorno da ~17 min)</t>
        </is>
      </c>
    </row>
    <row r="119" s="26">
      <c r="A119" s="47" t="inlineStr">
        <is>
          <t>D-118</t>
        </is>
      </c>
      <c r="B119" s="48" t="n">
        <v>46326</v>
      </c>
      <c r="C119" s="47" t="inlineStr">
        <is>
          <t>A5</t>
        </is>
      </c>
      <c r="D119" s="47" t="inlineStr">
        <is>
          <t>Giuliano</t>
        </is>
      </c>
      <c r="E119" s="47" t="inlineStr">
        <is>
          <t>Struttura</t>
        </is>
      </c>
      <c r="F119" s="47" t="inlineStr">
        <is>
          <t>Posizione del telescopio (P1): colonna 140 × 140 mm nell'angolo +X/−Y della faccia a nadir (asse a X +43 mm, Y −43 mm nel sistema D-114) invece che centrata in X (D-078). Tra la faccia −X e il telescopio resta una fetta di ~86 mm (~126 mm con la sporgenza di 39,5 mm; pareti e telaio esclusi, TBC) per il blocco motore della REGULUS con l'ugello al centro della faccia −X; serbatoio dello iodio nella zona +Y entro ~70 mm dalla linea di spinta (DR-67). La scheda payload (D-091) segue i sensori in X. Sulla faccia a nadir la parte libera diventa a L (striscia +Y come oggi + striscia −X); patch S a nadir (D-080) invariata</t>
        </is>
      </c>
      <c r="G119" s="47" t="inlineStr">
        <is>
          <t>P2: telescopio fermo e motore sporgente da −X (entra solo con blocco motore ≤ ~80 mm di profondità; sporgenza in conflitto con ali e radiatori); P3: asse lungo lungo la velocità come EarthNext (rifà D-043, A5.3–A5.6 e l'ottica); P4: altro motore (riapre D-034 e il ΔV)</t>
        </is>
      </c>
      <c r="H119" s="47" t="inlineStr">
        <is>
          <t>Con il telescopio centrato in X il centro del satellite (e quindi il baricentro, D-047 ≤ 10 mm dalla linea di spinta) cade dentro la colonna: tra la faccia −X e il telescopio restano 43 mm (83 con la sporgenza), troppo pochi per un blocco motore (151 mm nella versione piccola). P1 è l'unica modifica locale. Lo spostamento del baricentro del payload in X (+4,3 mm su 30 kg) non crea coppia in spinta (la spinta è lungo X) e resta dentro DR-14</t>
        </is>
      </c>
      <c r="I119" s="47" t="inlineStr">
        <is>
          <t>D-078 (Giuseppe: posizione in X del telescopio), faccia a nadir (apertura e striscia libera), scheda payload (D-091: X +43 mm), cablaggi dei sensori, baricentro e inerzie (A5.7.7–A5.7.8), termico del telescopio (più vicino alla faccia +X); radiatori su −Y (D-095, D-116) invariati</t>
        </is>
      </c>
      <c r="J119" s="47" t="inlineStr">
        <is>
          <t>DR-14, DR-21, DR-67</t>
        </is>
      </c>
      <c r="K119" s="47" t="inlineStr">
        <is>
          <t>R-26, R-01</t>
        </is>
      </c>
      <c r="L119" s="47" t="inlineStr">
        <is>
          <t>Proposta</t>
        </is>
      </c>
      <c r="M119" s="47" t="n"/>
      <c r="N119" s="47" t="inlineStr">
        <is>
          <t>Chat del 31/10/2026 (A5.7.3); PULSE_Layout/A5.7/regulus_vincoli.py</t>
        </is>
      </c>
      <c r="O119" s="47" t="inlineStr">
        <is>
          <t>Proposta: cambia D-078 di Giuseppe. Se il blocco motore della Large è più profondo di ~126 mm (ICD T4i) non basta: si passa a P4. Con l'approvazione D-078 diventa Superata da D-118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 | 30/10/2026 (D-114, Proposta): sistema di riferimento del satellite con origine nel centro geometrico, il limite si legge direttamente sulle coordinate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 | 30/10/2026 (D-106): rollio fisso fuori dalle riprese → gradiente di gravità ~0,010 N·m·s per orbita (I 1,14/0,26, 40°), da scaricare con i magnetorquer; inerzie con le ali in A5.7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 | 30/10/2026 (D-106): in safe la faccia a zenit (ali) punta il Sole entro 15° | 30/10/2026 (A5.6.7): safe simulato con ali verso il Sole entro 15°: SoC minimo 84%, avanzo ~1.070 Wh/giorno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 | 30/10/2026 (D-106): con ali a zenit, in safe il telescopio guarda a ~180° dal Sole: DR-37 rispettato anche con coperchio bloccato aperto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 | 30/10/2026 (D-106/D-107): in ripresa notturna con rollio di 45° verso il lato del Sole il radiatore vede la Terra al 69%: il sensore sale di ~3 K in 10 min, partendo freddo dall'attesa; requisito rispettato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 | 30/10/2026 (A5.6.7): regola applicata nella simulazione dello stato di carica</t>
        </is>
      </c>
    </row>
    <row r="77" s="26">
      <c r="A77" s="47" t="inlineStr">
        <is>
          <t>DR-61</t>
        </is>
      </c>
      <c r="B77" s="47" t="inlineStr">
        <is>
          <t>Derivato</t>
        </is>
      </c>
      <c r="C77" s="47" t="inlineStr">
        <is>
          <t>Fuori dalle riprese (attesa e spinta) l'ADCS deve tenere un rollio fisso attorno alla velocità verso il lato del Sole, aggiornato con le stagioni, e scaricare con i magnetorquer il momento del gradiente di gravità che ne deriva.</t>
        </is>
      </c>
      <c r="D77" s="47" t="inlineStr">
        <is>
          <t>Rollio 31–52° (TBC, ottimo stagionale); coppia ~1,8·10⁻⁶ N·m a 40°</t>
        </is>
      </c>
      <c r="E77" s="47" t="inlineStr">
        <is>
          <t>Analisi (A5.6.5), poi simulazione ADCS 3-assi (Fase B)</t>
        </is>
      </c>
      <c r="F77" s="47" t="inlineStr">
        <is>
          <t>TBC</t>
        </is>
      </c>
      <c r="G77" s="47" t="inlineStr">
        <is>
          <t>D-106 (A5.6.5)</t>
        </is>
      </c>
      <c r="H77" s="47" t="inlineStr">
        <is>
          <t>Giuliano</t>
        </is>
      </c>
      <c r="I77" s="47" t="inlineStr">
        <is>
          <t>Errore di rollio ammesso da fissare in A5.6.6 (perdita di potenza ~1 − cos dell'errore)</t>
        </is>
      </c>
    </row>
    <row r="78" s="26">
      <c r="A78" s="47" t="inlineStr">
        <is>
          <t>DR-62</t>
        </is>
      </c>
      <c r="B78" s="47" t="inlineStr">
        <is>
          <t>Derivato</t>
        </is>
      </c>
      <c r="C78" s="47" t="inlineStr">
        <is>
          <t>L'insieme dei pannelli deve fornire a fine vita, alla temperatura di lavoro, la potenza necessaria per il giorno di routine con Sole medio.</t>
        </is>
      </c>
      <c r="D78" s="47" t="inlineStr">
        <is>
          <t>≥ 6 × 21,6 W = 130 W a Sole perpendicolare (fine vita, 70 °C); ≥ 74,5 W medi in luce in assetto D-106 (TBC)</t>
        </is>
      </c>
      <c r="E78" s="47" t="inlineStr">
        <is>
          <t>Analisi, poi misura dei pannelli (Fase C)</t>
        </is>
      </c>
      <c r="F78" s="47" t="inlineStr">
        <is>
          <t>TBC</t>
        </is>
      </c>
      <c r="G78" s="47" t="inlineStr">
        <is>
          <t>D-108 (A5.6.6)</t>
        </is>
      </c>
      <c r="H78" s="47" t="inlineStr">
        <is>
          <t>Giuliano</t>
        </is>
      </c>
      <c r="I78" s="47" t="inlineStr">
        <is>
          <t>Da rivedere con la data di lancio (Sole alto: 8 pannelli) | 30/10/2026 (D-107): con +1 W di riscaldatori la spinta sostenibile scende a 4,9 h/giorno, sopra le 4,2 necessarie | 30/10/2026 (A5.6.7): verificato con la simulazione dello stato di carica (routine: avanzo 136 Wh/giorno nel giorno peggiore)</t>
        </is>
      </c>
    </row>
    <row r="79" s="26">
      <c r="A79" s="47" t="inlineStr">
        <is>
          <t>DR-63</t>
        </is>
      </c>
      <c r="B79" s="47" t="inlineStr">
        <is>
          <t>Derivato</t>
        </is>
      </c>
      <c r="C79" s="47" t="inlineStr">
        <is>
          <t>La batteria deve coprire il caso peggiore al buio senza superare la profondità di scarica ammessa, anche con una stringa guasta, per tutta la vita.</t>
        </is>
      </c>
      <c r="D79" s="47" t="inlineStr">
        <is>
          <t>≥ 112 Wh nominali (4S3P); scarica ≤ 25% a fine vita, ≤ 35% con una stringa guasta</t>
        </is>
      </c>
      <c r="E79" s="47" t="inlineStr">
        <is>
          <t>Analisi (A5.6.6–A5.6.7), poi prova di cicli (Fase C)</t>
        </is>
      </c>
      <c r="F79" s="47" t="inlineStr">
        <is>
          <t>TBC</t>
        </is>
      </c>
      <c r="G79" s="47" t="inlineStr">
        <is>
          <t>D-109, D-111 (A5.6.6–A5.6.7)</t>
        </is>
      </c>
      <c r="H79" s="47" t="inlineStr">
        <is>
          <t>Giuliano</t>
        </is>
      </c>
      <c r="I79" s="47" t="inlineStr">
        <is>
          <t>Caso peggiore: orbita con ripresa notturna e contatto al buio, 16,2 Wh ai carichi con margini (A5.6.3) | 30/10/2026 (D-107): 21% a fine vita e 31% con una stringa guasta, appena sopra il 30% di questo requisito: valore da riconfermare con la simulazione di A5.6.7 (Giuliano) | 30/10/2026 (D-111): valore riscritto da ≤ 20%/≤ 30% a ≤ 25%/≤ 35%; simulazione A5.6.7: 20,4% e 30,7%</t>
        </is>
      </c>
    </row>
    <row r="80" s="26">
      <c r="A80" s="47" t="inlineStr">
        <is>
          <t>DR-64</t>
        </is>
      </c>
      <c r="B80" s="47" t="inlineStr">
        <is>
          <t>Derivato</t>
        </is>
      </c>
      <c r="C80" s="47" t="inlineStr">
        <is>
          <t>La piattaforma deve mantenere l'interno del satellite in un intervallo di temperatura compatibile con batteria e telescopio in tutti i modi (operazioni, spinta, safe).</t>
        </is>
      </c>
      <c r="D80" s="47" t="inlineStr">
        <is>
          <t>~15–25 °C (TBC) in operazioni (D-116, prima 15–20 °C); limiti dei componenti dai datasheet (batteria, motore, ruote, computer)</t>
        </is>
      </c>
      <c r="E80" s="47" t="inlineStr">
        <is>
          <t>Analisi termica (A5/Fase B), prova in termo-vuoto (Fase C)</t>
        </is>
      </c>
      <c r="F80" s="47" t="inlineStr">
        <is>
          <t>TBC</t>
        </is>
      </c>
      <c r="G80" s="47" t="inlineStr">
        <is>
          <t>D-110, D-116</t>
        </is>
      </c>
      <c r="H80" s="47" t="inlineStr">
        <is>
          <t>Giuseppe</t>
        </is>
      </c>
      <c r="I80" s="47" t="inlineStr">
        <is>
          <t>Valore proposto da Giuliano il 30/10/2026; i riscaldatori del telescopio (D-100) sono calcolati attorno a questo valore | 30/10/2026 (D-116, Proposta): limite alto portato a 25 °C per ridurre area del radiatore e riscaldatori; batteria in carica fino a +45 °C, telescopio regolato a ~20 °C ± 11 K (DR-57) | 31/10/2026 Giuliano: 15–25 °C approvato (D-116); dal lato di Giuliano batteria in carica 0/+45 °C, REGULUS −25/+70 °C; altri componenti dai datasheet in A5.7.2</t>
        </is>
      </c>
    </row>
    <row r="81" s="26">
      <c r="A81" s="47" t="inlineStr">
        <is>
          <t>DR-65</t>
        </is>
      </c>
      <c r="B81" s="47" t="inlineStr">
        <is>
          <t>Derivato</t>
        </is>
      </c>
      <c r="C81" s="47" t="inlineStr">
        <is>
          <t>Il software di bordo deve accendere il motore solo con stato di carica della batteria ≥ 90% e spegnerlo sotto l'80%, recuperando la spinta mancata nelle orbite successive.</t>
        </is>
      </c>
      <c r="D81" s="47" t="inlineStr">
        <is>
          <t>Accensione ≥ 90%, spegnimento &lt; 80% (TBC)</t>
        </is>
      </c>
      <c r="E81" s="47" t="inlineStr">
        <is>
          <t>Simulazione (A5.6.7), poi prova del software (Fase C)</t>
        </is>
      </c>
      <c r="F81" s="47" t="inlineStr">
        <is>
          <t>TBC</t>
        </is>
      </c>
      <c r="G81" s="47" t="inlineStr">
        <is>
          <t>D-112 (A5.6.7)</t>
        </is>
      </c>
      <c r="H81" s="47" t="inlineStr">
        <is>
          <t>Giuliano</t>
        </is>
      </c>
      <c r="I81" s="47" t="inlineStr">
        <is>
          <t>Sole alto: spinta ridotta a ~5,6 h/giorno con SoC minimo 73%</t>
        </is>
      </c>
    </row>
    <row r="82" s="26">
      <c r="A82" s="47" t="inlineStr">
        <is>
          <t>DR-66</t>
        </is>
      </c>
      <c r="B82" s="47" t="inlineStr">
        <is>
          <t>Derivato</t>
        </is>
      </c>
      <c r="C82" s="47" t="inlineStr">
        <is>
          <t>La gestione della potenza deve avere livelli di protezione della batteria a soglie di stato di carica (stop alle riprese, poi safe) definiti nell'analisi FDIR.</t>
        </is>
      </c>
      <c r="D82" s="47" t="inlineStr">
        <is>
          <t>Soglie TBD (indicative: 70% stop riprese, 50% safe)</t>
        </is>
      </c>
      <c r="E82" s="47" t="inlineStr">
        <is>
          <t>Analisi FDIR (Fase C)</t>
        </is>
      </c>
      <c r="F82" s="47" t="inlineStr">
        <is>
          <t>TBD</t>
        </is>
      </c>
      <c r="G82" s="47" t="inlineStr">
        <is>
          <t>D-112 (A5.6.7)</t>
        </is>
      </c>
      <c r="H82" s="47" t="inlineStr">
        <is>
          <t>Giuliano</t>
        </is>
      </c>
      <c r="I82" s="47" t="inlineStr">
        <is>
          <t>Requisito per la Fase C (opzione C di D-112)</t>
        </is>
      </c>
    </row>
    <row r="83" s="26">
      <c r="A83" s="47" t="inlineStr">
        <is>
          <t>DR-67</t>
        </is>
      </c>
      <c r="B83" s="47" t="inlineStr">
        <is>
          <t>Derivato</t>
        </is>
      </c>
      <c r="C83" s="47" t="inlineStr">
        <is>
          <t>Il serbatoio dello iodio deve stare vicino alla linea di spinta, perché il consumo del propellente non sposti il baricentro fuori da DR-21 durante la vita.</t>
        </is>
      </c>
      <c r="D83" s="47" t="inlineStr">
        <is>
          <t>≤ ~70 mm dalla linea di spinta (2,04 kg di iodio: spostamento ≤ 5,1 mm da pieno a vuoto su 30 kg)</t>
        </is>
      </c>
      <c r="E83" s="47" t="inlineStr">
        <is>
          <t>Analisi (A5.7.7), poi disegno meccanico (Fase B)</t>
        </is>
      </c>
      <c r="F83" s="47" t="inlineStr">
        <is>
          <t>TBC</t>
        </is>
      </c>
      <c r="G83" s="47" t="inlineStr">
        <is>
          <t>D-117, D-118 (A5.7.3)</t>
        </is>
      </c>
      <c r="H83" s="47" t="inlineStr">
        <is>
          <t>Giuliano</t>
        </is>
      </c>
      <c r="I83" s="47" t="inlineStr">
        <is>
          <t>Spostamento = m_iodio × distanza / massa a vuoto; con il baricentro sulla linea a metà vita resta ±2,6 mm</t>
        </is>
      </c>
    </row>
    <row r="84" s="26">
      <c r="A84" s="47" t="inlineStr">
        <is>
          <t>DR-68</t>
        </is>
      </c>
      <c r="B84" s="47" t="inlineStr">
        <is>
          <t>Derivato</t>
        </is>
      </c>
      <c r="C84" s="47" t="inlineStr">
        <is>
          <t>I riscaldatori della piattaforma devono stare entro l'energia che il bilancio di potenza lascia libera senza ridurre la spinta necessaria nel giorno peggiore di routine.</t>
        </is>
      </c>
      <c r="D84" s="47" t="inlineStr">
        <is>
          <t>≤ 4 W medi al bus, margini compresi (≈ 2,8 W nominali), giorno peggiore di routine (fine maggio, Sole medio, 4,2 h di spinta)</t>
        </is>
      </c>
      <c r="E84" s="47" t="inlineStr">
        <is>
          <t>Analisi (modello termico a nodi A5.8.3 + simulazione dello stato di carica A5.6.7), prova in termo-vuoto (Fase C)</t>
        </is>
      </c>
      <c r="F84" s="47" t="inlineStr">
        <is>
          <t>TBC</t>
        </is>
      </c>
      <c r="G84" s="47" t="inlineStr">
        <is>
          <t>D-116 (A5.7, approvazione di Giuliano)</t>
        </is>
      </c>
      <c r="H84" s="47" t="inlineStr">
        <is>
          <t>Giuseppe</t>
        </is>
      </c>
      <c r="I84" s="47" t="inlineStr">
        <is>
          <t>Limite di calcolo 4,4 W (4,3 h di spinta sostenibili). Nei giorni senza spinta e in safe vale il bilancio del giorno (11 W e 9 W chiudono). Se non rispettato: radiatore a persiane (D-116), R-58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In mitigazione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 | 30/10/2026 (A5.6.7): simulazione dello stato di carica: routine ed emergenza con SoC ≥ 79,6% e avanzo ≥ 119 Wh/giorno; spinta senza scaricare la batteria | 30/10/2026 (A5.6.8): passa a In mitigazione: spinta separata da eclisse e trasmissioni (D-105), 6 ali con rollio fisso (D-106, D-108), batteria 4S3P (D-109), regola 90/80% (D-112); resta il caso Sole alto (R-56)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 | 30/10/2026 (D-106): con ali a zenit il safe tiene il Sole dietro il telescopio (~180°): caso coperchio bloccato aperto coperto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 s="26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  <row r="56" s="26">
      <c r="A56" s="47" t="inlineStr">
        <is>
          <t>R-55</t>
        </is>
      </c>
      <c r="B56" s="47" t="inlineStr">
        <is>
          <t>Il sensore notturno o la scheda payload, spenti, vengono raffreddati troppo dai propri radiatori (fino a ~−43 °C con il rollio di D-106), sotto i limiti dei componenti</t>
        </is>
      </c>
      <c r="C56" s="47" t="inlineStr">
        <is>
          <t>Guasti o cicli termici eccessivi sull'elettronica e sul sensore; ritardo prima delle riprese per riscaldare</t>
        </is>
      </c>
      <c r="D56" s="47" t="inlineStr">
        <is>
          <t>Media</t>
        </is>
      </c>
      <c r="E56" s="47" t="inlineStr">
        <is>
          <t>Media</t>
        </is>
      </c>
      <c r="F56" s="50">
        <f>IF(OR(D56="",E56=""),"",MATCH(D56,{"Bassa","Media","Alta"},0)*MATCH(E56,{"Bassa","Media","Alta"},0))</f>
        <v/>
      </c>
      <c r="G56" s="47" t="inlineStr">
        <is>
          <t>Riscaldatori di sopravvivenza con termostato (~1 W, D-107); limiti di temperatura dai datasheet; in Fase B interruttore termico o radiatore a collegamento variabile e modello termico completo</t>
        </is>
      </c>
      <c r="H56" s="47" t="inlineStr">
        <is>
          <t>Fase B (modello termico, datasheet)</t>
        </is>
      </c>
      <c r="I56" s="47" t="n"/>
      <c r="J56" s="47" t="inlineStr">
        <is>
          <t>Giuseppe</t>
        </is>
      </c>
      <c r="K56" s="47" t="inlineStr">
        <is>
          <t>In mitigazione</t>
        </is>
      </c>
      <c r="L56" s="47" t="inlineStr">
        <is>
          <t>A5</t>
        </is>
      </c>
      <c r="M56" s="47" t="inlineStr">
        <is>
          <t>Nato con la verifica di D-106 (30/10/2026); il problema c'era già a nadir (~−33 °C), il rollio lo peggiora di ~10 K</t>
        </is>
      </c>
    </row>
    <row r="57" s="26">
      <c r="A57" s="47" t="inlineStr">
        <is>
          <t>R-56</t>
        </is>
      </c>
      <c r="B57" s="47" t="inlineStr">
        <is>
          <t>Con attività solare alta (data di lancio vicina al massimo del ciclo) la potenza dei 6 pannelli non basta per le ~7,8 h/giorno di spinta</t>
        </is>
      </c>
      <c r="C57" s="47" t="inlineStr">
        <is>
          <t>Quota non mantenuta o vita ridotta (come per il propellente, R-12)</t>
        </is>
      </c>
      <c r="D57" s="47" t="inlineStr">
        <is>
          <t>Bassa</t>
        </is>
      </c>
      <c r="E57" s="47" t="inlineStr">
        <is>
          <t>Alta</t>
        </is>
      </c>
      <c r="F57" s="50">
        <f>IF(OR(D57="",E57=""),"",MATCH(D57,{"Bassa","Media","Alta"},0)*MATCH(E57,{"Bassa","Media","Alta"},0))</f>
        <v/>
      </c>
      <c r="G57" s="47" t="inlineStr">
        <is>
          <t>Data di lancio nella fase discendente del ciclo; riserva di 8 pannelli da verificare nel layout (A5.7); riduzione dei consumi fissi (giroscopio 5 W) in Fase B; revisione congiunta con D-033 e D-034 quando la data è nota; regola di bordo 90/80% (D-112): la batteria non si svuota, spinta ridotta a ~5,6 h/giorno</t>
        </is>
      </c>
      <c r="H57" s="47" t="inlineStr">
        <is>
          <t>A6 / Fase B</t>
        </is>
      </c>
      <c r="I57" s="47" t="n"/>
      <c r="J57" s="47" t="inlineStr">
        <is>
          <t>Giuliano</t>
        </is>
      </c>
      <c r="K57" s="47" t="inlineStr">
        <is>
          <t>In mitigazione</t>
        </is>
      </c>
      <c r="L57" s="47" t="inlineStr">
        <is>
          <t>A5</t>
        </is>
      </c>
      <c r="M57" s="47" t="inlineStr">
        <is>
          <t>Nato con D-108 (30/10/2026) | 30/10/2026 (A5.6.7): senza regola la batteria si svuota in &lt; 1 giorno; con D-112 spinta ~5,6 h/giorno (servono 7,8)</t>
        </is>
      </c>
    </row>
    <row r="58" s="26">
      <c r="A58" s="47" t="inlineStr">
        <is>
          <t>R-57</t>
        </is>
      </c>
      <c r="B58" s="47" t="inlineStr">
        <is>
          <t>Il calore del REGULUS che entra nel satellite dall'attacco è più alto della stima di 15 W (fino a 48,5 W se il radiatore sull'ugello smaltisce meno del previsto o vede il satellite)</t>
        </is>
      </c>
      <c r="C58" s="47" t="inlineStr">
        <is>
          <t>Interno più caldo in spinta: radiatore della piattaforma insufficiente, batteria e telescopio fuori dai limiti (DR-64, DR-57), spinta da ridurre</t>
        </is>
      </c>
      <c r="D58" s="47" t="inlineStr">
        <is>
          <t>Media</t>
        </is>
      </c>
      <c r="E58" s="47" t="inlineStr">
        <is>
          <t>Media</t>
        </is>
      </c>
      <c r="F58" s="50">
        <f>IF(OR(D58="",E58=""),"",MATCH(D58,{"Bassa","Media","Alta"},0)*MATCH(E58,{"Bassa","Media","Alta"},0))</f>
        <v/>
      </c>
      <c r="G58" s="47" t="inlineStr">
        <is>
          <t>Verifica con i dati T4i in A5.7.1 (Giuliano); caso di sensibilità a 48,5 W nel modello A5.8.3; ugello su −X con il radiatore che vede lo spazio libero; in Fase B ICD T4i e prova termica</t>
        </is>
      </c>
      <c r="H58" s="47" t="inlineStr">
        <is>
          <t>A5.7.1 / A5.8.3</t>
        </is>
      </c>
      <c r="I58" s="47" t="inlineStr">
        <is>
          <t>TBD</t>
        </is>
      </c>
      <c r="J58" s="47" t="inlineStr">
        <is>
          <t>Giuseppe</t>
        </is>
      </c>
      <c r="K58" s="47" t="inlineStr">
        <is>
          <t>Aperto</t>
        </is>
      </c>
      <c r="L58" s="47" t="inlineStr">
        <is>
          <t>A5</t>
        </is>
      </c>
      <c r="M58" s="47" t="inlineStr">
        <is>
          <t>Nato con D-115 (30/10/2026) | 31/10/2026 (A5.7.3): nessun dato pubblico sui W dall'attacco; si chiude con l'ICD di T4i. Radiatore dell'ugello su −X: verificare in A5.7.5 che le ali aperte non lo vedano</t>
        </is>
      </c>
    </row>
    <row r="59" s="26">
      <c r="A59" s="47" t="inlineStr">
        <is>
          <t>R-58</t>
        </is>
      </c>
      <c r="B59" s="47" t="inlineStr">
        <is>
          <t>L'energia dei riscaldatori della piattaforma nei periodi freddi (giorni di routine d'estate, giorni senza spinta) non sta nell'avanzo del bilancio di potenza</t>
        </is>
      </c>
      <c r="C59" s="47" t="inlineStr">
        <is>
          <t>Meno ore di spinta disponibili o interno sotto i 15 °C (batteria e telescopio vicini ai limiti)</t>
        </is>
      </c>
      <c r="D59" s="47" t="inlineStr">
        <is>
          <t>Media</t>
        </is>
      </c>
      <c r="E59" s="47" t="inlineStr">
        <is>
          <t>Media</t>
        </is>
      </c>
      <c r="F59" s="50">
        <f>IF(OR(D59="",E59=""),"",MATCH(D59,{"Bassa","Media","Alta"},0)*MATCH(E59,{"Bassa","Media","Alta"},0))</f>
        <v/>
      </c>
      <c r="G59" s="47" t="inlineStr">
        <is>
          <t>Interno 15–25 °C (D-116); modello a nodi con capacità termica e vernici a fine vita (A5.8.3); riscaldatori solo sulla batteria se basta; nei giorni senza spinta si usa l'energia non spesa per il motore; radiatore a persiane come riserva; tetto di DR-68 (≤ 4 W al bus con margini) come obiettivo del modello a nodi</t>
        </is>
      </c>
      <c r="H59" s="47" t="inlineStr">
        <is>
          <t>A5.8.3–A5.8.4</t>
        </is>
      </c>
      <c r="I59" s="47" t="inlineStr">
        <is>
          <t>TBD</t>
        </is>
      </c>
      <c r="J59" s="47" t="inlineStr">
        <is>
          <t>Giuseppe</t>
        </is>
      </c>
      <c r="K59" s="47" t="inlineStr">
        <is>
          <t>Aperto</t>
        </is>
      </c>
      <c r="L59" s="47" t="inlineStr">
        <is>
          <t>A5</t>
        </is>
      </c>
      <c r="M59" s="47" t="inlineStr">
        <is>
          <t>Nato con D-116 (30/10/2026) | 31/10/2026 (D-116 approvata, DR-68): tetto ≤ 4 W medi al bus margini compresi; con 5 W la spinta sostenibile scende a 4,0 h su 4,2 (A5.7, riscaldatori_potenza.py)</t>
        </is>
      </c>
    </row>
    <row r="60" s="26">
      <c r="A60" s="47" t="inlineStr">
        <is>
          <t>R-59</t>
        </is>
      </c>
      <c r="B60" s="47" t="inlineStr">
        <is>
          <t>Preriscaldamento e raffreddamento del REGULUS (PSH/PSC) o il mantenimento in temperatura (PSTM) richiedono più tempo o energia di quanto previsto, con 16 accensioni brevi al giorno (spinta solo in luce, ~17 min per orbita)</t>
        </is>
      </c>
      <c r="C60" s="47" t="inlineStr">
        <is>
          <t>Meno minuti di spinta utili per orbita o più energia: bilancio di potenza (A5.6) e ore di spinta (D-108) da rifare; più calore all'interno</t>
        </is>
      </c>
      <c r="D60" s="47" t="inlineStr">
        <is>
          <t>Media</t>
        </is>
      </c>
      <c r="E60" s="47" t="inlineStr">
        <is>
          <t>Media</t>
        </is>
      </c>
      <c r="F60" s="50">
        <f>IF(OR(D60="",E60=""),"",MATCH(D60,{"Bassa","Media","Alta"},0)*MATCH(E60,{"Bassa","Media","Alta"},0))</f>
        <v/>
      </c>
      <c r="G60" s="47" t="inlineStr">
        <is>
          <t>Chiedere a T4i durata e potenza di PSH/PSC/PSTM (ICD); se servono, accensioni più lunghe e meno numerose o PSTM nei giorni di spinta, con verifica nel bilancio orbita per orbita; nel caso peggiore 50 W comprensivi (D-104) da rivedere</t>
        </is>
      </c>
      <c r="H60" s="47" t="inlineStr">
        <is>
          <t>A5.7.3 / Fase B</t>
        </is>
      </c>
      <c r="I60" s="47" t="inlineStr">
        <is>
          <t>~6</t>
        </is>
      </c>
      <c r="J60" s="47" t="inlineStr">
        <is>
          <t>Giuliano</t>
        </is>
      </c>
      <c r="K60" s="47" t="inlineStr">
        <is>
          <t>Aperto</t>
        </is>
      </c>
      <c r="L60" s="47" t="inlineStr">
        <is>
          <t>A5</t>
        </is>
      </c>
      <c r="M60" s="47" t="inlineStr">
        <is>
          <t>Nato con D-117 (31/10/2026). EarthNext usa accensioni da ~2,5 h con PSH e PSC a ogni ciclo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2026-10-31T11:10:56Z</dcterms:modified>
  <cp:revision>0</cp:revision>
</cp:coreProperties>
</file>