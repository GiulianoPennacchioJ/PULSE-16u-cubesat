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1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 | 30/10/2026 (D-103): il bias di 96,8° resta; la deriva vera è ~−0,05°/anno con oscillazione annua ±0,15° (GMAT), non −0,33°/anno; ora del nodo 10:30 → 9:56 in 2 anni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 | 30/10/2026 (A5.P4): campo di 3,9° verificato con il telescopio RC + 3 lenti (D-088); il Korsch in asse non lo reggeva.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 | 30/10/2026: EPS di piattaforma assegnato a Giuliano con D-087 (Proposta); le altre voci restano aperte | 30/10/2026: D-087 approvata da Giuseppe (EPS a Giuliano)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 | 30/10/2026 (D-099, Proposta): N = 30 minuti (TBC) dal termico del payload (A5.P7). | 30/10/2026 (D-099): N = 30 min (TBC, da misurare al commissioning)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Superata</t>
        </is>
      </c>
      <c r="M77" s="47" t="inlineStr">
        <is>
          <t>D-088</t>
        </is>
      </c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 | 30/10/2026 (A5.P4): Superata da D-088. Il Korsch in asse non regge il campo di 3,9° (R-42 avverato).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Superata</t>
        </is>
      </c>
      <c r="M78" s="47" t="inlineStr">
        <is>
          <t>D-089</t>
        </is>
      </c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 | 30/10/2026 (A5.P4): Superata da D-089 (ombra 20% del telescopio RC: città 14 scatti).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 s="26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  <row r="88" s="26">
      <c r="A88" s="47" t="inlineStr">
        <is>
          <t>D-087</t>
        </is>
      </c>
      <c r="B88" s="48" t="n">
        <v>46325</v>
      </c>
      <c r="C88" s="47" t="inlineStr">
        <is>
          <t>A5</t>
        </is>
      </c>
      <c r="D88" s="47" t="inlineStr">
        <is>
          <t>Giuliano</t>
        </is>
      </c>
      <c r="E88" s="47" t="inlineStr">
        <is>
          <t>Potenza</t>
        </is>
      </c>
      <c r="F88" s="47" t="inlineStr">
        <is>
          <t>Responsabile dell'EPS di piattaforma (A3, chiude D-038 per la sola voce EPS): pannelli solari, batterie e distribuzione (PCDU) a Giuliano. Restano a Giuseppe i consumi del payload e della scheda (P-11…P-16) e il termico del payload (P-23). Il bilancio di potenza complessivo resta in comune (D-028)</t>
        </is>
      </c>
      <c r="G88" s="47" t="inlineStr">
        <is>
          <t>A1: EPS e termico completi a Giuseppe (per affinità con la Guida); A2: EPS in comune</t>
        </is>
      </c>
      <c r="H88" s="47" t="inlineStr">
        <is>
          <t>Le scelte che dimensionano l'EPS (spinta in eclissi, configurazione e orientamento dei pannelli, roll bias, safe con pannelli perpendicolari all'asse ottico, effetto dei pannelli sul drag e sul ΔV) dipendono da orbita, assetto e propulsione, cioè dal lavoro di Giuliano; Giuseppe è impegnato sui sotto-passi payload di A5</t>
        </is>
      </c>
      <c r="I88" s="47" t="inlineStr">
        <is>
          <t>D-028 (divisione del lavoro), D-038, file dei budget (responsabile di P-18, P-19, P-20), sotto-passi A5.6</t>
        </is>
      </c>
      <c r="J88" s="47" t="n"/>
      <c r="K88" s="47" t="inlineStr">
        <is>
          <t>R-07</t>
        </is>
      </c>
      <c r="L88" s="47" t="inlineStr">
        <is>
          <t>Approvata</t>
        </is>
      </c>
      <c r="M88" s="47" t="n"/>
      <c r="N88" s="47" t="inlineStr">
        <is>
          <t>Chat del 30/10/2026 (A5.6.1)</t>
        </is>
      </c>
      <c r="O88" s="47" t="inlineStr">
        <is>
          <t>Proposta: cambia l'assegnazione di D-028 per Giuseppe (EPS non più suo). Restano aperti in D-038: struttura e meccanismi, computer di bordo, cablaggi, termico di piattaforma | 30/10/2026 Giuseppe: approvata.</t>
        </is>
      </c>
    </row>
    <row r="89" s="26">
      <c r="A89" s="47" t="inlineStr">
        <is>
          <t>D-088</t>
        </is>
      </c>
      <c r="B89" s="48" t="n">
        <v>46325</v>
      </c>
      <c r="C89" s="47" t="inlineStr">
        <is>
          <t>A5</t>
        </is>
      </c>
      <c r="D89" s="47" t="inlineStr">
        <is>
          <t>Giuseppe</t>
        </is>
      </c>
      <c r="E89" s="47" t="inlineStr">
        <is>
          <t>Payload</t>
        </is>
      </c>
      <c r="F89" s="47" t="inlineStr">
        <is>
          <t>Telescopio Ritchey-Chrétien (2 specchi iperbolici: primario 12 cm con foro centrale, secondario ~54 mm) + correttore di campo a 3 lenti in silice fusa davanti ai sensori; focale 0,70 m, F/5,8 (A2 invariati). Versione "nitida": focale del primario 200 mm, immagine 70 mm dietro il primario. Ottica ~25 cm, ~40 cm con sensori e paraluce di 10 cm (D-079); ingombro ~14 × 14 × 40 cm. Campo pieno 3,9° con i due sensori affiancati (D-027) verificato con tracciamento dei raggi</t>
        </is>
      </c>
      <c r="G89" s="47" t="inlineStr">
        <is>
          <t>Korsch in asse (D-076): con 3,9° il fascio verso il terziario e quello di ritorno si sovrappongono sullo specchio di rinvio (anche spostando il campo di lato le immagini peggiorano di 5–50 volte); RC versione corta (primario 180 mm: −3–4 cm, ma errore d'onda di riferimento 31 nm invece di 18, deformazione 0,64% invece di 0,34%, decentramento di 50 µm → 44 nm invece di 26); TMA fuori asse 12 cm (~2,7 volte il volume a f 700 mm, non entra); campo ridotto (rinuncia ai sensori affiancati)</t>
        </is>
      </c>
      <c r="H89" s="47" t="inlineStr">
        <is>
          <t>Unico schema calcolato che regge tutto il campo dentro il 16U: errore d'onda medio 22 nm, massimo 53 nm agli angoli (Strehl 0,94 / 0,69 a 550 nm, obiettivo λ/14 = 39 nm); MTF ottica a Nyquist pan 0,26 centro / 0,24 bordo / 0,21 angolo, di sistema (× rivelatore 0,64) 0,17 / 0,15 / 0,13; notte 0,59–0,53; deformazione 0,34% (24 px all'angolo, si calibra). Tollerante al montaggio (decentramento del secondario di 50 µm → 26 nm). Ombra centrale 20% (secondario 54 mm, foro 49 mm) invece di 9,5%. Schema a 2 specchi molto usato in volo</t>
        </is>
      </c>
      <c r="I89" s="47" t="inlineStr">
        <is>
          <t>Volume e layout (A5.7, Giuliano: V-02 da ~6 L a ~7,8 L, lunghezza da ~30 a ~40 cm su 45,4; resta ~5 cm in fondo); massa (~1,5 kg, ~1,8 kg con paraluce e coperchio, A5.P4) e baricentro (D-078, DR-14); SNR notturno (D-089); MTF di sistema (DR-53, A2 diceva 0,28 senza ombra); fuoco (DR-03)</t>
        </is>
      </c>
      <c r="J89" s="47" t="inlineStr">
        <is>
          <t>DR-03, DR-53, DR-09, DR-11, V-02</t>
        </is>
      </c>
      <c r="K89" s="47" t="inlineStr">
        <is>
          <t>R-42, R-49, R-50</t>
        </is>
      </c>
      <c r="L89" s="47" t="inlineStr">
        <is>
          <t>Approvata</t>
        </is>
      </c>
      <c r="M89" s="47" t="n"/>
      <c r="N89" s="47" t="inlineStr">
        <is>
          <t>Chat del 30/10/2026 (A5.P4); documento "PULSE A5.P4 – Scelta del telescopio"</t>
        </is>
      </c>
      <c r="O89" s="47" t="inlineStr">
        <is>
          <t>Proposta: sostituisce D-076 e cambia lunghezza e volume del telescopio per il layout di Giuliano. Calcoli in a5_calcoli/p4_ottica/ (rc.py, progetto_rc.py, geometria_rc.py, analisi_rc.py, rc_200_70_3.json); disegno telescopio_rc_sezione.png. Progetto di Fase A con tracciatore proprio: da rifare con programma professionale in Fase B (lenti asferiche per gli angoli) | 30/10/2026 (A5.P4): massa calcolata pezzo per pezzo (a5_calcoli/p4_massa_baricentro.py): telescopio con piastra dei sensori 1,60 kg, paraluce + coperchio 0,30 kg (budget M-11, M-14). | 30/10/2026 Giuliano: approvata (B), con punti da verificare nel layout (A5.7): star tracker parallelo al telescopio e patch a zenit di fianco al telescopio, non nei ~5 cm in fondo; baricentro X/Y con il telescopio spostato su un lato (D-078) entro DR-14 e D-047; inerzie entro l'inviluppo di D-043 con telescopio 1,6 kg + paraluce e coperchio 0,3 kg. DR-11 invariato (0,34 s ≤ 0,36 s)</t>
        </is>
      </c>
    </row>
    <row r="90" s="26">
      <c r="A90" s="47" t="inlineStr">
        <is>
          <t>D-089</t>
        </is>
      </c>
      <c r="B90" s="48" t="n">
        <v>46325</v>
      </c>
      <c r="C90" s="47" t="inlineStr">
        <is>
          <t>A5</t>
        </is>
      </c>
      <c r="D90" s="47" t="inlineStr">
        <is>
          <t>Giuseppe</t>
        </is>
      </c>
      <c r="E90" s="47" t="inlineStr">
        <is>
          <t>Payload</t>
        </is>
      </c>
      <c r="F90" s="47" t="inlineStr">
        <is>
          <t>Ripresa notturna con il telescopio RC (D-088, trasmissione relativa ~0,79 con ombra 20% + bracci ~1%): città/quartieri 1×1 (4,8 m) con 14 scatti da 20 ms (280 ms, SNR 10,3); paesi 3×3 (14,4 m) con 10 scatti (200 ms, SNR 10,2), invariato. Pixel 11 µm invariato</t>
        </is>
      </c>
      <c r="G90" s="47" t="inlineStr">
        <is>
          <t>Restare a 12 scatti in città accettando SNR 9,6; 13 scatti (SNR 9,96, senza margine)</t>
        </is>
      </c>
      <c r="H90" s="47" t="inlineStr">
        <is>
          <t>Mantiene SNR ≥ 10 (DR-09); l'inseguimento più lungo è 280 ms, +20% = 0,34 s, dentro gli 0,36 s di DR-11 già verificati da Giuliano. Di giorno il segnale scende del ~13% rispetto al Korsch (SNR ~ −6%, non visibile)</t>
        </is>
      </c>
      <c r="I90" s="47" t="inlineStr">
        <is>
          <t>DR-09, DR-11 (nessun cambio di valore); volume dati invariato</t>
        </is>
      </c>
      <c r="J90" s="47" t="inlineStr">
        <is>
          <t>DR-09, DR-11</t>
        </is>
      </c>
      <c r="K90" s="47" t="n"/>
      <c r="L90" s="47" t="inlineStr">
        <is>
          <t>Approvata</t>
        </is>
      </c>
      <c r="M90" s="47" t="n"/>
      <c r="N90" s="47" t="inlineStr">
        <is>
          <t>Chat del 30/10/2026 (A5.P4)</t>
        </is>
      </c>
      <c r="O90" s="47" t="inlineStr">
        <is>
          <t>Sostituisce D-077. Calcolo con il modello di p2_ostruzione_snr.py (A3) e τ = 1 − 0,448² − 0,01 = 0,789. Approvata perché non cambia i valori di Giuliano (DR-11 resta ≥ 0,36 s), ma segue D-088 (Proposta)</t>
        </is>
      </c>
    </row>
    <row r="91" s="26">
      <c r="A91" s="47" t="inlineStr">
        <is>
          <t>D-090</t>
        </is>
      </c>
      <c r="B91" s="48" t="n">
        <v>46325</v>
      </c>
      <c r="C91" s="47" t="inlineStr">
        <is>
          <t>A5</t>
        </is>
      </c>
      <c r="D91" s="47" t="inlineStr">
        <is>
          <t>Giuseppe</t>
        </is>
      </c>
      <c r="E91" s="47" t="inlineStr">
        <is>
          <t>Payload</t>
        </is>
      </c>
      <c r="F91" s="47" t="inlineStr">
        <is>
          <t>Materiali del telescopio: specchi in vetro alleggerito (~60%) a bassa dilatazione, struttura (tubo, paratie, ragno del secondario) in fibra di carbonio, attacchi flessibili in titanio/Invar</t>
        </is>
      </c>
      <c r="G91" s="47" t="inlineStr">
        <is>
          <t>Tutto alluminio (specchi e struttura nello stesso metallo: si dilata in modo uniforme, più facile da lavorare, ~1,34 kg contro ~1,29 kg per il Korsch, ma superfici meno lisce e più luce diffusa)</t>
        </is>
      </c>
      <c r="H91" s="47" t="inlineStr">
        <is>
          <t>Migliore qualità delle superfici (meno luce diffusa, utile di notte) e struttura che si dilata poco con la temperatura (fuoco più stabile, DR-03); massa praticamente uguale (stima dal basso, a5_calcoli/p4_telescopio_massa.py)</t>
        </is>
      </c>
      <c r="I91" s="47" t="inlineStr">
        <is>
          <t>Massa del telescopio (A5.P4); fuoco e termico del payload (A5.P7, DR-03); fornitori (Fase B)</t>
        </is>
      </c>
      <c r="J91" s="47" t="inlineStr">
        <is>
          <t>DR-03</t>
        </is>
      </c>
      <c r="K91" s="47" t="inlineStr">
        <is>
          <t>R-49</t>
        </is>
      </c>
      <c r="L91" s="47" t="inlineStr">
        <is>
          <t>Approvata</t>
        </is>
      </c>
      <c r="M91" s="47" t="n"/>
      <c r="N91" s="47" t="inlineStr">
        <is>
          <t>Chat del 30/10/2026 (A5.P4)</t>
        </is>
      </c>
      <c r="O91" s="47" t="inlineStr">
        <is>
          <t>Scelta di Giuseppe prima del cambio di schema; vale anche per il telescopio RC (D-088). Massa RC ~1,5 kg da confermare nel resto di A5.P4 | 30/10/2026 (D-098): la distanza tra gli specchi la tengono aste in Invar; il carbonio resta per guscio e paratie.</t>
        </is>
      </c>
    </row>
    <row r="92" s="26">
      <c r="A92" s="47" t="inlineStr">
        <is>
          <t>D-091</t>
        </is>
      </c>
      <c r="B92" s="48" t="n">
        <v>46325</v>
      </c>
      <c r="C92" s="47" t="inlineStr">
        <is>
          <t>A5</t>
        </is>
      </c>
      <c r="D92" s="47" t="inlineStr">
        <is>
          <t>Giuseppe</t>
        </is>
      </c>
      <c r="E92" s="47" t="inlineStr">
        <is>
          <t>Struttura</t>
        </is>
      </c>
      <c r="F92" s="47" t="inlineStr">
        <is>
          <t>Posizione della scheda payload (FPGA + chip AI + memoria, opzione A): sulla struttura del satellite vicino al piano focale, sul lato opposto al telescopio (circa Y +60 mm, Z ~380 mm dalla faccia a nadir), con un radiatore proprio e senza contatto termico diretto con il telescopio; collegata ai sensori con cavi piatti flessibili di 10–15 cm. Ingombro ~100 × 100 × 60 mm (TBC)</t>
        </is>
      </c>
      <c r="G92" s="47" t="inlineStr">
        <is>
          <t>B: nella pila dell'elettronica con il computer di bordo (cavo di 20–40 cm a ~7,5 Gbit/s, più disturbi; bilanciamento tutto sul resto del layout); C: scheda divisa in due, piccola FPGA dietro i sensori per la somma (~2–3 W) e AI + memoria nella pila (tenuta come riserva se l'analisi termica A5.P7 trova problemi)</t>
        </is>
      </c>
      <c r="H92" s="47" t="inlineStr">
        <is>
          <t>Il flusso più veloce (~7,5 Gbit/s di giorno, D-081) resta su cavi corti; una sola scheda; fa da contrappeso al telescopio (spostamento del baricentro da ~3,8 a ~2,9 mm su 30 kg, DR-21 ≤ 10 mm). Il calore (~6 W per ~10 min a passaggio, ~1 Wh) va alla struttura e al radiatore, non al telescopio (fuoco DR-03, sensore notturno a ~0 °C)</t>
        </is>
      </c>
      <c r="I92" s="47" t="inlineStr">
        <is>
          <t>Layout (A5.7, Giuliano): spazio a L accanto al telescopio; baricentro (DR-14, DR-21); termico del payload (A5.P7); cablaggi</t>
        </is>
      </c>
      <c r="J92" s="47" t="inlineStr">
        <is>
          <t>DR-03, DR-14, DR-21</t>
        </is>
      </c>
      <c r="K92" s="47" t="inlineStr">
        <is>
          <t>R-51</t>
        </is>
      </c>
      <c r="L92" s="47" t="inlineStr">
        <is>
          <t>Proposta</t>
        </is>
      </c>
      <c r="M92" s="47" t="n"/>
      <c r="N92" s="47" t="inlineStr">
        <is>
          <t>Chat del 30/10/2026 (A5.P4)</t>
        </is>
      </c>
      <c r="O92" s="47" t="inlineStr">
        <is>
          <t>Proposta: occupa spazio nel layout di Giuliano. Calcolo del baricentro in a5_calcoli/p4_massa_baricentro.py</t>
        </is>
      </c>
    </row>
    <row r="93" s="26">
      <c r="A93" s="47" t="inlineStr">
        <is>
          <t>D-092</t>
        </is>
      </c>
      <c r="B93" s="48" t="n">
        <v>46325</v>
      </c>
      <c r="C93" s="47" t="inlineStr">
        <is>
          <t>A5</t>
        </is>
      </c>
      <c r="D93" s="47" t="inlineStr">
        <is>
          <t>Giuliano</t>
        </is>
      </c>
      <c r="E93" s="47" t="inlineStr">
        <is>
          <t>AI / Dati</t>
        </is>
      </c>
      <c r="F93" s="47" t="inlineStr">
        <is>
          <t>Coda di scarico dei dati del payload nella memoria della scheda payload (Q1, conferma D-086): la scheda resta in attesa (~2 W FPGA + memoria, ~0,2 W chip AI) solo mentre si scaricano dati del payload, cioè durante i contatti (~71 min/giorno per satellite, A5.5), ~2,4–2,6 Wh/giorno; spenta fuori da riprese, elaborazione e scarichi</t>
        </is>
      </c>
      <c r="G93" s="47" t="inlineStr">
        <is>
          <t>Q2: coda nel computer di bordo (scheda spenta dopo l'elaborazione)</t>
        </is>
      </c>
      <c r="H93" s="47" t="inlineStr">
        <is>
          <t>Q2 farebbe risparmiare ~2,5 Wh/giorno su un totale dominato da spinta e riscaldatori, ma chiederebbe all'OBC decine di GB, un collegamento veloce verso la radio e copie in più, con OBC non ancora scelto né assegnato (D-038). La memoria da 32 GB della scheda esiste già (D-086)</t>
        </is>
      </c>
      <c r="I93" s="47" t="inlineStr">
        <is>
          <t>Bilancio di potenza (P-15, colonna Scarico), OBC (P-17, resta semplice), software di bordo (gestione della coda sulla scheda, D-073)</t>
        </is>
      </c>
      <c r="J93" s="47" t="n"/>
      <c r="K93" s="47" t="inlineStr">
        <is>
          <t>R-07</t>
        </is>
      </c>
      <c r="L93" s="47" t="inlineStr">
        <is>
          <t>Approvata</t>
        </is>
      </c>
      <c r="M93" s="47" t="n"/>
      <c r="N93" s="47" t="inlineStr">
        <is>
          <t>Chat del 30/10/2026 (A5.6.1)</t>
        </is>
      </c>
      <c r="O93" s="47" t="inlineStr">
        <is>
          <t>Risponde alla domanda di Giuseppe (A5.P6 provvisorio). Il suo conto usava 2,5 h/giorno (finestra del ricevitore S, D-084): con i contatti reali di ~71 min l'energia di attesa scende da ~5 a ~2,5 Wh/giorno, da confermare da Giuseppe in A5.P6 | 30/10/2026 (D-097, Proposta): con la scheda di riferimento (classe Xiphos Q8) l'attesa in scarico è 3,5 W (AI spento), ~4,1 Wh/giorno con 71 min di contatti.</t>
        </is>
      </c>
    </row>
    <row r="94" s="26">
      <c r="A94" s="47" t="inlineStr">
        <is>
          <t>D-093</t>
        </is>
      </c>
      <c r="B94" s="48" t="n">
        <v>46325</v>
      </c>
      <c r="C94" s="47" t="inlineStr">
        <is>
          <t>A5</t>
        </is>
      </c>
      <c r="D94" s="47" t="inlineStr">
        <is>
          <t>Giuseppe</t>
        </is>
      </c>
      <c r="E94" s="47" t="inlineStr">
        <is>
          <t>Payload</t>
        </is>
      </c>
      <c r="F94" s="47" t="inlineStr">
        <is>
          <t>Sensore diurno di riferimento: classe Sony IMX342 (CMOS a otturatore globale, 3,45 µm, 6480 × 4870, fino a ~70 fps; usata la finestra 6463 × 4840 nel campo corretto): GSD 1,49 m, swath 9,6 km, ~7,5 Gbit/s a 20 fps, ~5 W (camera commerciale con lo stesso sensore 5,3 W). Seconda fonte: Gpixel GMAX3265 (3,2 µm). Filtri RGB-NIR a strisce applicati sopra il sensore (D-025)</t>
        </is>
      </c>
      <c r="G94" s="47" t="inlineStr">
        <is>
          <t>Gpixel GMAX3265 come principale (1,38 m, ma luce per pixel 86%, SNR diurno −7%, 8,7 Gbit/s, sensore 29,9 × 22,4 mm più grande del posto nel piano focale); Teledyne e2v Emerald 67M USV (già selezionato per lo spazio, ma pixel 2,5 µm: luce 53%, SNR −27%, 13 Gbit/s, dettaglio oltre quello che il telescopio da 12 cm risolve); ams CMV12000 (molto usato in volo, ma pixel 5,5 µm = 2,4 m, A2 da rifare)</t>
        </is>
      </c>
      <c r="H94" s="47" t="inlineStr">
        <is>
          <t>Unico candidato che riempie esattamente il campo corretto del telescopio (D-088) con la risoluzione di A2 e la luce di A3; nitidezza di sistema a Nyquist 0,17 (DR-53). Commerciale senza prove di radiazione pubblicate: rischio R-52, gestito con prove in Fase B e seconda fonte con pixel quasi uguale</t>
        </is>
      </c>
      <c r="I94" s="47" t="inlineStr">
        <is>
          <t>SNR diurno e TDI (A3), scheda (D-081, D-085), potenza P-12, massa M-12, piano focale (D-027)</t>
        </is>
      </c>
      <c r="J94" s="47" t="inlineStr">
        <is>
          <t>DR-53, DR-54</t>
        </is>
      </c>
      <c r="K94" s="47" t="inlineStr">
        <is>
          <t>R-52</t>
        </is>
      </c>
      <c r="L94" s="47" t="inlineStr">
        <is>
          <t>Approvata</t>
        </is>
      </c>
      <c r="M94" s="47" t="n"/>
      <c r="N94" s="47" t="inlineStr">
        <is>
          <t>Chat del 30/10/2026 (A5.P5)</t>
        </is>
      </c>
      <c r="O94" s="47" t="inlineStr">
        <is>
          <t>Calcolo in a5_calcoli/p5_sensori.py. Dati: schede gophotonics (IMX342, GMAX3265), Imperx CXP-C6440 (5,3 W), articolo Teledyne space-screened (giugno 2025), prova protoni CMV12000 (SPIE 11180)</t>
        </is>
      </c>
    </row>
    <row r="95" s="26">
      <c r="A95" s="47" t="inlineStr">
        <is>
          <t>D-094</t>
        </is>
      </c>
      <c r="B95" s="48" t="n">
        <v>46325</v>
      </c>
      <c r="C95" s="47" t="inlineStr">
        <is>
          <t>A5</t>
        </is>
      </c>
      <c r="D95" s="47" t="inlineStr">
        <is>
          <t>Giuseppe</t>
        </is>
      </c>
      <c r="E95" s="47" t="inlineStr">
        <is>
          <t>Payload</t>
        </is>
      </c>
      <c r="F95" s="47" t="inlineStr">
        <is>
          <t>Sensore notturno di riferimento confermato: Gpixel GSENSE400BSI (sCMOS BSI, 2048 × 2048, 11 µm, otturatore a scorrimento con FMC, &lt; 0,6 W, QE ~0,8 a 650 nm, buio 0,4 e-/s a −20 °C). Va tenuto intorno a 0 °C o meno durante le riprese notturne (buio ≤ ~3 e-/s come in A3)</t>
        </is>
      </c>
      <c r="G95" s="47" t="inlineStr">
        <is>
          <t>GSENSE4040BSI (9 µm: quartiere a 3,9 m con 29 scatti = 580 ms oltre DR-11, oppure 7,8 m raggruppando; pacchetto 53 mm, &lt; 1,4 W; versione FSI in volo su GRBBeta dal 2024); GSENSE2020BSI (6,5 µm: stessa resa solo raggruppando a 5,6 m, swath 5,7 km invece di 9,7; provato a protoni fino a 100 krad, non in volo)</t>
        </is>
      </c>
      <c r="H95" s="47" t="inlineStr">
        <is>
          <t>Pixel adatto alla luce notturna con il nostro telescopio: 14 scatti in città, 10 nei paesi (D-089). La stessa tecnologia dei due fratelli: le loro prove (GSENSE2020BSI funzionante dopo 100 krad di protoni, rumore ×2, buio ×60) valgono come indizio; prova propria in Fase B (R-52)</t>
        </is>
      </c>
      <c r="I95" s="47" t="inlineStr">
        <is>
          <t>SNR notturno (DR-09), termico del sensore (radiatore D-095, A5.P7), potenza P-13</t>
        </is>
      </c>
      <c r="J95" s="47" t="inlineStr">
        <is>
          <t>DR-09, DR-54, DR-55</t>
        </is>
      </c>
      <c r="K95" s="47" t="inlineStr">
        <is>
          <t>R-52</t>
        </is>
      </c>
      <c r="L95" s="47" t="inlineStr">
        <is>
          <t>Approvata</t>
        </is>
      </c>
      <c r="M95" s="47" t="n"/>
      <c r="N95" s="47" t="inlineStr">
        <is>
          <t>Chat del 30/10/2026 (A5.P5)</t>
        </is>
      </c>
      <c r="O95" s="47" t="inlineStr">
        <is>
          <t>Calcolo in a5_calcoli/p5_sensori_notte.py. Fonti: scheda gophotonics GSENSE400BSI e GSENSE4040BSI; articolo LUVCam (arXiv 2607.28831) per GRBBeta, QUVIK e prova protoni del GSENSE2020BSI. Conferma D-026 (A2/A3)</t>
        </is>
      </c>
    </row>
    <row r="96" s="26">
      <c r="A96" s="47" t="inlineStr">
        <is>
          <t>D-095</t>
        </is>
      </c>
      <c r="B96" s="48" t="n">
        <v>46325</v>
      </c>
      <c r="C96" s="47" t="inlineStr">
        <is>
          <t>A5</t>
        </is>
      </c>
      <c r="D96" s="47" t="inlineStr">
        <is>
          <t>Giuseppe</t>
        </is>
      </c>
      <c r="E96" s="47" t="inlineStr">
        <is>
          <t>Termico</t>
        </is>
      </c>
      <c r="F96" s="47" t="inlineStr">
        <is>
          <t>Radiatori del payload sulla faccia laterale 226 × 454 mm rivolta dalla parte opposta al Sole (normale all'orbita), verso il fondo del satellite: sensore notturno ~100 cm² a ~−10 °C, scheda payload ~90 cm² a ~30 °C, in tutto ~190 cm² (stima con margine ×1,5, TBC fino ad A5.P7); vernice bianca</t>
        </is>
      </c>
      <c r="G96" s="47" t="inlineStr">
        <is>
          <t>Faccia zenit (~145 cm², il sensore non vede la Terra ma di giorno prende il Sole; condivisa con antenna S a zenit e star tracker); divisi (sensore a zenit, scheda sul lato: due facce occupate)</t>
        </is>
      </c>
      <c r="H96" s="47" t="inlineStr">
        <is>
          <t>In orbita eliosincrona 10:30/22:30 la faccia dalla parte opposta al Sole non vede quasi mai il Sole diretto: è inutile per i pannelli solari, quindi non toglie spazio ad A5.6; vede la Terra al 31% (radiatore un po' più grande). La scheda accumula il picco di 6 W nella sua massa (+9 K a passaggio): il radiatore smaltisce la media</t>
        </is>
      </c>
      <c r="I96" s="47" t="inlineStr">
        <is>
          <t>Pannelli solari sul corpo e layout (A5.6, A5.7 Giuliano): il telescopio conviene da quel lato; assetti con rollio (riprese a 45°, roll bias) da verificare; termico del payload (A5.P7)</t>
        </is>
      </c>
      <c r="J96" s="47" t="inlineStr">
        <is>
          <t>DR-55</t>
        </is>
      </c>
      <c r="K96" s="47" t="inlineStr">
        <is>
          <t>R-51</t>
        </is>
      </c>
      <c r="L96" s="47" t="inlineStr">
        <is>
          <t>Approvata</t>
        </is>
      </c>
      <c r="M96" s="47" t="n"/>
      <c r="N96" s="47" t="inlineStr">
        <is>
          <t>Chat del 30/10/2026 (A5.P5, richiesta di Giuliano per A5.6)</t>
        </is>
      </c>
      <c r="O96" s="47" t="inlineStr">
        <is>
          <t>Proposta: occupa superficie sulle facce di Giuliano. Calcolo in a5_calcoli/p7_radiatori_stima.py (emissività 0,85, assorbimento 0,20, IR terrestre 237 W/m², perdite verso l'interno ~0,5 W) | 30/10/2026 Giuliano: approvata. Lato EPS nessun conflitto: angolo beta sempre positivo (11–44° nei 2 anni, A5.6.2), quindi la faccia normale all'orbita opposta al Sole non lo vede nell'assetto nominale e lascia libera per i pannelli la faccia dal lato del Sole. Esposizione al Sole di quella faccia con il rollio delle riprese a 45° e in safe: la calcola Giuliano in A5.6.5 (pannelli e assetti)</t>
        </is>
      </c>
    </row>
    <row r="97" s="26">
      <c r="A97" s="47" t="inlineStr">
        <is>
          <t>D-096</t>
        </is>
      </c>
      <c r="B97" s="48" t="n">
        <v>46325</v>
      </c>
      <c r="C97" s="47" t="inlineStr">
        <is>
          <t>A5</t>
        </is>
      </c>
      <c r="D97" s="47" t="inlineStr">
        <is>
          <t>Giuseppe</t>
        </is>
      </c>
      <c r="E97" s="47" t="inlineStr">
        <is>
          <t>GNC</t>
        </is>
      </c>
      <c r="F97" s="47" t="inlineStr">
        <is>
          <t>Ripresa diurna con rallentamento della scena (slow-down, fattore 2): durante ogni scena il satellite ruota all'indietro in beccheggio a metà della velocità angolare della linea di vista (~0,70°/s a nadir; ~0,50°/s a 45° di traverso, ~0,35°/s a 45° lungo traccia), così il terreno scorre sul sensore a metà velocità. Scatto 0,2 ms invariato (mosso 0,5 pixel invece di 1), TDI digitale a 4 passaggi con ~10 immagini/s, scena ~2,6 s invece di ~1,3 s (rotazione ~1,8° a scena)</t>
        </is>
      </c>
      <c r="G97" s="47" t="inlineStr">
        <is>
          <t>A: lasciare 0,2 ms senza rallentamento (mosso 1 pixel: nitidezza lungo traccia 0,07 contro 0,10 di traverso); B: 0,1 ms con 8 passaggi a 40 immagini/s (stessa nitidezza e SNR di E, ma ~15 Gbit/s e il sensore a 12 bit forse non arriva a 40 immagini/s); C: 0,1 ms con 4 passaggi (nitidezza come E ma SNR diurno −30%: tipico ~46, inverno scuro ~18)</t>
        </is>
      </c>
      <c r="H97" s="47" t="inlineStr">
        <is>
          <t>Unica opzione che migliora la nitidezza lungo traccia (0,067 → 0,094 al centro, 0,055 → 0,078 all'angolo) senza perdere SNR (tipico ~65, inverno scuro ~26) e dimezzando i dati verso la scheda (~3,7 Gbit/s invece di 7,5). Manovra della stessa famiglia della FMC notturna (D-044), più lenta e più lunga</t>
        </is>
      </c>
      <c r="I97" s="47" t="inlineStr">
        <is>
          <t>ADCS (Giuliano): profilo di beccheggio in ripresa diurna, durata della finestra per scena e numero di scene per passaggio (D-072); DR-12 e DR-13 (frequenza e dati più bassi); riallineamento TDI (DR-26); yaw steering (DR-24)</t>
        </is>
      </c>
      <c r="J97" s="47" t="inlineStr">
        <is>
          <t>DR-12, DR-13, DR-24, DR-26, DR-53, DR-56</t>
        </is>
      </c>
      <c r="K97" s="47" t="inlineStr">
        <is>
          <t>R-53</t>
        </is>
      </c>
      <c r="L97" s="47" t="inlineStr">
        <is>
          <t>Approvata</t>
        </is>
      </c>
      <c r="M97" s="47" t="n"/>
      <c r="N97" s="47" t="inlineStr">
        <is>
          <t>Chat del 30/10/2026 (A5.P5)</t>
        </is>
      </c>
      <c r="O97" s="47" t="inlineStr">
        <is>
          <t>Proposta: aggiunge una manovra in ripresa diurna. Calcolo in a5_calcoli/p5_mtf_sistema.py. Ripiego se l'ADCS non la regge: opzione C | 30/10/2026 Giuliano: in valutazione nel sotto-passo GNC A5.4.4 (dopo A5.6.2, prima di A5.6.3). Stima di primo ordine: momento ~0,014 N·m·s (I = 1,14 kg·m², 0,70°/s) contro 0,030 di D-045; coppia ~0,003 N·m con rampa di 5 s, sotto i 7 mN·m delle ruote | 30/10/2026 Giuliano: approvata in A5.4.4 con le condizioni di D-101 (ripresa 4,2 s, rotazione 2,9° a nadir, calibrazione del fattore di scala, DR-58)</t>
        </is>
      </c>
    </row>
    <row r="98" s="26">
      <c r="A98" s="47" t="inlineStr">
        <is>
          <t>D-097</t>
        </is>
      </c>
      <c r="B98" s="48" t="n">
        <v>46325</v>
      </c>
      <c r="C98" s="47" t="inlineStr">
        <is>
          <t>A5</t>
        </is>
      </c>
      <c r="D98" s="47" t="inlineStr">
        <is>
          <t>Giuseppe</t>
        </is>
      </c>
      <c r="E98" s="47" t="inlineStr">
        <is>
          <t>Potenza</t>
        </is>
      </c>
      <c r="F98" s="47" t="inlineStr">
        <is>
          <t>Potenze del payload per modo (A5.P6), con prodotti di riferimento già in volo: scheda FPGA classe Xiphos Q8 (5 W tipici) e chip AI classe Ubotica CogniSAT-XE1 (2 W tipici). Ripresa diurna 12 W (sensore 5 + FPGA 5 + AI 2), ripresa notturna 9 W (2 + 5 + 2), scarico 3,5 W (solo FPGA, AI spento), spinta e riposo/safe 0 W (riscaldatori a parte, P-23, da A5.P7). Energia ~7 Wh/giorno in routine (1 passaggio diurno + 1 notturno), ~10 Wh in emergenza (2 + 2)</t>
        </is>
      </c>
      <c r="G98" s="47" t="inlineStr">
        <is>
          <t>Valori provvisori del 30/10 (FPGA ~6 W, scarico 2 W + AI 0,2 W): stime senza prodotto di riferimento</t>
        </is>
      </c>
      <c r="H98" s="47" t="inlineStr">
        <is>
          <t>Valori dalle schede di prodotti della classe scelta (D-085): Xiphos Q8 5 W tipici, minimo 3,5 W; CogniSAT-XE1 2 W tipici, 5 W massimi; camera con IMX342 5,3 W; GSENSE400BSI &lt; 0,6 W. Scheda in ripresa da 8 a 7 W; in scarico da 2,2 a 3,5 W (+~1,5 Wh/giorno, minimo dichiarato della classe; da ridurre in Fase B tenendo acceso solo il processore, TBC)</t>
        </is>
      </c>
      <c r="I98" s="47" t="inlineStr">
        <is>
          <t>Bilancio di potenza (P-12…P-16, Giuliano A5.6), D-092 (potenza di attesa in scarico), termico del payload (A5.P7)</t>
        </is>
      </c>
      <c r="J98" s="47" t="inlineStr">
        <is>
          <t>DR-13</t>
        </is>
      </c>
      <c r="K98" s="47" t="n"/>
      <c r="L98" s="47" t="inlineStr">
        <is>
          <t>Approvata</t>
        </is>
      </c>
      <c r="M98" s="47" t="n"/>
      <c r="N98" s="47" t="inlineStr">
        <is>
          <t>Chat del 30/10/2026 (A5.P6)</t>
        </is>
      </c>
      <c r="O98" s="47" t="inlineStr">
        <is>
          <t>Proposta: cambia i valori di P-15 che Giuliano ha nel bilancio. Calcolo in a5_calcoli/p6_potenza.py. Fonti: scheda Xiphos Q8 Rev C; brief Ubotica CogniSAT-XE1 v4.12; Imperx CXP-C6440; gophotonics GSENSE400BSI | 30/10/2026 Giuliano: approvata. Conti ricontrollati (passaggio diurno ~1,6 Wh, notturno ~1,2 Wh, scarico 3,5 W × 71 min ≈ 4,1 Wh/giorno). Totali del bilancio con margini: ripresa diurna 36,3 W, notturna 32,4 W, scarico 44,9 W (senza OBC, EPS e termico di piattaforma, ancora TBD)</t>
        </is>
      </c>
    </row>
    <row r="99" s="26">
      <c r="A99" s="47" t="inlineStr">
        <is>
          <t>D-098</t>
        </is>
      </c>
      <c r="B99" s="48" t="n">
        <v>46325</v>
      </c>
      <c r="C99" s="47" t="inlineStr">
        <is>
          <t>A5</t>
        </is>
      </c>
      <c r="D99" s="47" t="inlineStr">
        <is>
          <t>Giuseppe</t>
        </is>
      </c>
      <c r="E99" s="47" t="inlineStr">
        <is>
          <t>Payload</t>
        </is>
      </c>
      <c r="F99" s="47" t="inlineStr">
        <is>
          <t>Distanza tra primario e secondario tenuta da 4 aste in Invar (Ø ~6 mm, ~170 mm, ~155 g) invece che dal tubo in carbonio, che resta come guscio contro la luce (più sottile, ~1 mm). Specchi in vetro a bassa dilatazione (classe Zerodur, ≤ ~0,1 ppm/K); attacco del piano focale in Invar. Fuoco: 1,7 µm/K → telescopio da tenere entro ±11 K dalla temperatura di regolazione; nessun effetto dell'umidità</t>
        </is>
      </c>
      <c r="G99" s="47" t="inlineStr">
        <is>
          <t>Motorino di messa a fuoco sul secondario (~80 g, corregge tutto ma è un meccanismo in più: riserva per la Fase B); carbonio con barriera all'umidità (riduce ma non elimina: 20–100 ppm di accorciamento = 27–137 µm di fuoco); struttura e specchi in carburo di silicio (atermico, ma costoso e fuori misura per un CubeSat); solo pre-correzione a terra (se la stima sbaglia non si recupera)</t>
        </is>
      </c>
      <c r="H99" s="47" t="inlineStr">
        <is>
          <t>Il fuoco è molto sensibile alla distanza tra gli specchi (+1 µm → −8,1 µm al fuoco, calcolato raggio per raggio): il carbonio che perde umidità nel vuoto porterebbe il fuoco fuori da ±37 µm (DR-03). L'Invar non assorbe acqua e si dilata poco; ±11 K si tengono con i riscaldatori (D-100). Massa del telescopio circa invariata (aste +0,16 kg, tubo più sottile −0,24 kg)</t>
        </is>
      </c>
      <c r="I99" s="47" t="inlineStr">
        <is>
          <t>Struttura del telescopio (D-090: il carbonio non è più strutturale tra gli specchi), termico (DR-57, D-100), massa M-11 (circa invariata), prima frequenza propria (DR-38, Fase B)</t>
        </is>
      </c>
      <c r="J99" s="47" t="inlineStr">
        <is>
          <t>DR-03, DR-57, DR-38</t>
        </is>
      </c>
      <c r="K99" s="47" t="inlineStr">
        <is>
          <t>R-49</t>
        </is>
      </c>
      <c r="L99" s="47" t="inlineStr">
        <is>
          <t>Approvata</t>
        </is>
      </c>
      <c r="M99" s="47" t="n"/>
      <c r="N99" s="47" t="inlineStr">
        <is>
          <t>Chat del 30/10/2026 (A5.P7)</t>
        </is>
      </c>
      <c r="O99" s="47" t="inlineStr">
        <is>
          <t>Calcolo in a5_calcoli/p4_ottica/fuoco_termico.py (con specchi Zerodur e tubo in carbonio da 0,5 ppm/K il fuoco sarebbe 0,72 µm/K, ±26 K, ma senza protezione dall'umidità)</t>
        </is>
      </c>
    </row>
    <row r="100" s="26">
      <c r="A100" s="47" t="inlineStr">
        <is>
          <t>D-099</t>
        </is>
      </c>
      <c r="B100" s="48" t="n">
        <v>46325</v>
      </c>
      <c r="C100" s="47" t="inlineStr">
        <is>
          <t>A5</t>
        </is>
      </c>
      <c r="D100" s="47" t="inlineStr">
        <is>
          <t>Giuseppe</t>
        </is>
      </c>
      <c r="E100" s="47" t="inlineStr">
        <is>
          <t>Propulsione</t>
        </is>
      </c>
      <c r="F100" s="47" t="inlineStr">
        <is>
          <t>Valore di N in D-074: spinta vietata da 30 minuti prima di ogni ripresa pianificata (TBC), fino a 5 minuti dopo come in D-074. Da misurare al commissioning (fuoco e temperatura del telescopio dopo la spinta) e ridurre se possibile</t>
        </is>
      </c>
      <c r="G100" s="47" t="inlineStr">
        <is>
          <t>15 minuti (basterebbe per la temperatura media del telescopio, ma senza margine per i gradienti vicino al motore, non ancora calcolati); 60 minuti (valore provvisorio: più riprese d'emergenza col rischio di prima immagine degradata)</t>
        </is>
      </c>
      <c r="H100" s="47" t="inlineStr">
        <is>
          <t>Il telescopio è isolato e lento (costante di tempo ~1–4 h con attacchi da 0,1–0,3 W/K): se il motore scalda l'interno di 5 K, dopo 30 min il telescopio sale di ~1–2 K contro i ±11 K ammessi (D-098). Tempo di spinta disponibile ancora più largo che con 60 min (Giuliano, D-074: 22,4 h/giorno con 60 min)</t>
        </is>
      </c>
      <c r="I100" s="47" t="inlineStr">
        <is>
          <t>Piano operativo e spinta (D-074, DR-46, Giuliano), riprese d'emergenza, commissioning</t>
        </is>
      </c>
      <c r="J100" s="47" t="inlineStr">
        <is>
          <t>DR-46</t>
        </is>
      </c>
      <c r="K100" s="47" t="inlineStr">
        <is>
          <t>R-24</t>
        </is>
      </c>
      <c r="L100" s="47" t="inlineStr">
        <is>
          <t>Approvata</t>
        </is>
      </c>
      <c r="M100" s="47" t="n"/>
      <c r="N100" s="47" t="inlineStr">
        <is>
          <t>Chat del 30/10/2026 (A5.P7)</t>
        </is>
      </c>
      <c r="O100" s="47" t="inlineStr">
        <is>
          <t>Proposta: fissa un valore del piano di spinta di Giuliano. Calcolo in a5_calcoli/p7_termico.py. Il modello termico completo (gradienti dal motore, posizione della REGULUS nel layout A5.7) in Fase B | 30/10/2026 Giuliano: approvata. Più tempo per la spinta (con 60 min restavano 22,4 h/giorno, D-074); entra nella strategia di spinta (A5.6.4)</t>
        </is>
      </c>
    </row>
    <row r="101" s="26">
      <c r="A101" s="47" t="inlineStr">
        <is>
          <t>D-100</t>
        </is>
      </c>
      <c r="B101" s="48" t="n">
        <v>46325</v>
      </c>
      <c r="C101" s="47" t="inlineStr">
        <is>
          <t>A5</t>
        </is>
      </c>
      <c r="D101" s="47" t="inlineStr">
        <is>
          <t>Giuseppe</t>
        </is>
      </c>
      <c r="E101" s="47" t="inlineStr">
        <is>
          <t>Termico</t>
        </is>
      </c>
      <c r="F101" s="47" t="inlineStr">
        <is>
          <t>Termico del payload: telescopio regolato con riscaldatori a una temperatura vicina a quella media dell'interno (~15–20 °C, TBC) entro ±11 K; coperte isolanti (MLI) sulla colonna e attacchi isolati (0,1–0,3 W/K); coperchio chiuso fuori dalle riprese. Riscaldatori: ~4 W di picco a coperchio aperto, ~2 W in media in operazioni, ~1 W in safe (solo sopravvivenza). Radiatori come D-095</t>
        </is>
      </c>
      <c r="G101" s="47" t="inlineStr">
        <is>
          <t>Riscaldatori sempre accesi a 4 W (valore provvisorio, ~96 Wh/giorno); nessuna regolazione (fuoco non garantito)</t>
        </is>
      </c>
      <c r="H101" s="47" t="inlineStr">
        <is>
          <t>Bilancio semplice: perdita dall'apertura aperta verso la Terra ~1,8–2,3 W, coperchio chiuso ~0,2 W, MLI 0,1–0,7 W, più la conduzione verso l'interno che dipende dalla temperatura di regolazione. In safe il fuoco non serve: basta restare nei limiti di sopravvivenza</t>
        </is>
      </c>
      <c r="I101" s="47" t="inlineStr">
        <is>
          <t>Bilancio di potenza P-23 (Giuliano: valori più bassi del provvisorio), termico di piattaforma (temperatura interna), D-095</t>
        </is>
      </c>
      <c r="J101" s="47" t="inlineStr">
        <is>
          <t>DR-03, DR-55, DR-57</t>
        </is>
      </c>
      <c r="K101" s="47" t="inlineStr">
        <is>
          <t>R-24, R-49, R-51</t>
        </is>
      </c>
      <c r="L101" s="47" t="inlineStr">
        <is>
          <t>Approvata</t>
        </is>
      </c>
      <c r="M101" s="47" t="n"/>
      <c r="N101" s="47" t="inlineStr">
        <is>
          <t>Chat del 30/10/2026 (A5.P7)</t>
        </is>
      </c>
      <c r="O101" s="47" t="inlineStr">
        <is>
          <t>Proposta: cambia P-23 nel bilancio di Giuliano. Calcolo in a5_calcoli/p7_termico.py; modello termico vero in Fase B | 30/10/2026 Giuliano: approvata. Energia dei riscaldatori del payload da ~96 a ~48 Wh/giorno in operazioni (~24 Wh in safe). Nel budget P-23 la colonna Riposo/safe porta 1 W (safe): nel profilo orbita per orbita (A5.6.3) il riposo in operazioni usa 2 W</t>
        </is>
      </c>
    </row>
    <row r="102" s="26">
      <c r="A102" s="47" t="inlineStr">
        <is>
          <t>D-101</t>
        </is>
      </c>
      <c r="B102" s="48" t="n">
        <v>46325</v>
      </c>
      <c r="C102" s="47" t="inlineStr">
        <is>
          <t>A5</t>
        </is>
      </c>
      <c r="D102" s="47" t="inlineStr">
        <is>
          <t>Giuliano</t>
        </is>
      </c>
      <c r="E102" s="47" t="inlineStr">
        <is>
          <t>GNC</t>
        </is>
      </c>
      <c r="F102" s="47" t="inlineStr">
        <is>
          <t>Risposta a D-096 (opzione A): rallentamento ×2 fattibile. Rampa del beccheggio dentro lo slew di 60 s verso il bersaglio (nominale); tra due bersagli senza slew rampe separate con coppia pianificata ≤ 1 mN·m partendo da un assetto già inclinato in avanti (23 s a nadir, 16 s a 45° di traverso, 12 s a 45° lungo traccia). Ripresa per scena 4,2 s (scena 2,6 s + bande 1,58 s), rotazione 2,9° a nadir. Fattore di scala del giroscopio di beccheggio calibrato in volo contro lo star tracker (DR-58)</t>
        </is>
      </c>
      <c r="G102" s="47" t="inlineStr">
        <is>
          <t>B: rampe separate a 3 mN·m (bersagli senza slew a ~160 km invece di ~380 km, ma assestamento 2,1–3,2 s, 9,2 s prima del commissioning, fuori DR-08; picchi di potenza delle ruote più alti); C: rifiutare D-096 e usare 0,1 ms senza manovra (SNR diurno −30%)</t>
        </is>
      </c>
      <c r="H102" s="47" t="inlineStr">
        <is>
          <t>Simulazione 1-asse (banda 1 rad/s, 10 Hz, GY2, inerzia 0,64–1,14, stimata ±10% e nominale): coppia ≤ 1,0 mN·m (rampa nello slew), momento ≤ 0,013 N·m·s, errore in scena ≤ 0,012°, deriva in scena ≤ 0,001°/s dopo l'assestamento (0–0,65 s, 2,0 s prima del commissioning). Tempo aggiunto +2,1–2,7 s per scena (~+20 km tra bersagli): scene possibili 2,7 → 2,6 al giorno, passaggi con 4 scene 44% → 33%, giorni con ≥ 4 scene 40% → 30%. Vincolo nuovo: con la rotazione a 0,77°/s e 1,58 s tra le bande il fattore di scala ammesso scende da ~2.500 a ~80 ppm (CRH03: 1.500–3.000 ppm sulla temperatura)</t>
        </is>
      </c>
      <c r="I102" s="47" t="inlineStr">
        <is>
          <t>ADCS (profilo e software di guida), commissioning e calibrazione periodica del giroscopio, pianificazione delle riprese diurne (A6: bersagli senza slew ≥ ~380 km), DR-56 (durata e rotazione, Giuseppe), DR-18, DR-08</t>
        </is>
      </c>
      <c r="J102" s="47" t="inlineStr">
        <is>
          <t>DR-56, DR-58, DR-18, DR-08, DR-05, DR-15</t>
        </is>
      </c>
      <c r="K102" s="47" t="inlineStr">
        <is>
          <t>R-53, R-54</t>
        </is>
      </c>
      <c r="L102" s="47" t="inlineStr">
        <is>
          <t>Approvata</t>
        </is>
      </c>
      <c r="M102" s="47" t="n"/>
      <c r="N102" s="47" t="inlineStr">
        <is>
          <t>A5.4.4 (GNC) – chat del 30/10/2026; PULSE_ADCS/A5.4 (rallentamento_diurno.py)</t>
        </is>
      </c>
      <c r="O102" s="47" t="inlineStr">
        <is>
          <t>Proposta: cambia durata della ripresa (2,6 → 4,2 s) e rotazione (1,8° → 2,9°) di DR-56, valori di Giuseppe. Rampa nello slew a nadir: coppia pianificata 1,06 mN·m (6% sopra la regola di D-045; si rientra con slew di 63 s o beccheggio di partenza in avanti). Ripiego se la calibrazione non basta: riallineamento delle bande per correlazione d'immagine (DR-26, Giuseppe). Numerazione: A5.4.4 esiste già nel README di A5.4 (altri modi), da rinumerare se serve | 30/10/2026 Giuseppe: approvata. Frame e dati invariati: 42 immagini per scena (prima ~2,1 s × 20 immagini/s, ora ~4,2 s × ~10 immagini/s), stessi MB per scena, ~3,7 Gbit/s verso la scheda (DR-12, DR-13); cambia solo la durata. La correlazione tra le bande a bordo (DR-26) si usa come complemento del giroscopio, non solo come ripiego</t>
        </is>
      </c>
    </row>
    <row r="103" s="26">
      <c r="A103" s="47" t="inlineStr">
        <is>
          <t>D-102</t>
        </is>
      </c>
      <c r="B103" s="48" t="n">
        <v>46325</v>
      </c>
      <c r="C103" s="47" t="inlineStr">
        <is>
          <t>A5</t>
        </is>
      </c>
      <c r="D103" s="47" t="inlineStr">
        <is>
          <t>Giuliano</t>
        </is>
      </c>
      <c r="E103" s="47" t="inlineStr">
        <is>
          <t>Potenza</t>
        </is>
      </c>
      <c r="F103" s="47" t="inlineStr">
        <is>
          <t>Valori di progetto di luce ed eclisse per il bilancio di potenza (a): eclisse massima 36,0 min per orbita (umbra + penombra, GMAT su 2 anni), luce minima 54,5 min su un periodo di 90,56 min (15,9 orbite/giorno, ~11.600 cicli della batteria in 2 anni). Nessuna orbita senza eclisse; angolo beta sempre dello stesso segno. Passaggio diurno sull'Italia ~10–25 min dopo l'uscita dall'ombra; passaggio notturno in fondo all'eclisse (~0–15 min prima dell'uscita)</t>
        </is>
      </c>
      <c r="G103" s="47" t="inlineStr">
        <is>
          <t>b: 36,6 min dal modello Python (ombra conica, Terra sferica, senza Luna), ~2% più prudente</t>
        </is>
      </c>
      <c r="H103" s="47" t="inlineStr">
        <is>
          <t>GMAT (JGM3 4×4, Sole e Luna, eclipse locator su 11.590 eclissi) è lo strumento di riferimento del progetto; Python conferma entro ~1 min (GMAT ~50 s più corto). Il margine si mette sulla batteria e sulla potenza (D-035), non sul tempo</t>
        </is>
      </c>
      <c r="I103" s="47" t="inlineStr">
        <is>
          <t>Dimensionamento di pannelli e batteria (A5.6.5–A5.6.7), profilo orbita per orbita (A5.6.3), strategia di spinta (A5.6.4), termico del payload (durata del buio, A5.P7)</t>
        </is>
      </c>
      <c r="J103" s="47" t="n"/>
      <c r="K103" s="47" t="inlineStr">
        <is>
          <t>R-07</t>
        </is>
      </c>
      <c r="L103" s="47" t="inlineStr">
        <is>
          <t>Approvata</t>
        </is>
      </c>
      <c r="M103" s="47" t="n"/>
      <c r="N103" s="47" t="inlineStr">
        <is>
          <t>Chat del 30/10/2026 (A5.6.2); PULSE_EPS/A5.6 (luce_eclisse.py, confronto_gmat.py, gmat/)</t>
        </is>
      </c>
      <c r="O103" s="47" t="inlineStr">
        <is>
          <t>Ombra GMAT per orbita 34,7–36,0 min (media 35,5); penombra ~0,3 min. Per Giuseppe: valore del buio per l'analisi termica (A5.P7)</t>
        </is>
      </c>
    </row>
    <row r="104" s="26">
      <c r="A104" s="47" t="inlineStr">
        <is>
          <t>D-103</t>
        </is>
      </c>
      <c r="B104" s="48" t="n">
        <v>46325</v>
      </c>
      <c r="C104" s="47" t="inlineStr">
        <is>
          <t>A5</t>
        </is>
      </c>
      <c r="D104" s="47" t="inlineStr">
        <is>
          <t>Giuliano</t>
        </is>
      </c>
      <c r="E104" s="47" t="inlineStr">
        <is>
          <t>Orbita</t>
        </is>
      </c>
      <c r="F104" s="47" t="inlineStr">
        <is>
          <t>Inclinazione di iniezione 96,8° (D-012) confermata (A), con motivazione corretta: la deriva vera dell'inclinazione media non è −0,33°/anno (MDR, da EarthNext con formula semplificata) ma ~−0,05°/anno con un'oscillazione annua di ±0,15° (GMAT, Sole e Luna, 2 anni). Effetto: ora del nodo discendente da 10:30 a 9:56 in 2 anni (−34 min)</t>
        </is>
      </c>
      <c r="G104" s="47" t="inlineStr">
        <is>
          <t>B: alzare il bias per tenere l'ora vicina alle 10:30 (nuovo GMAT e nuovo requisito di lancio senza un bisogno vero); C: fissare prima una tolleranza sull'ora (rimandata ad A6 come DR-59)</t>
        </is>
      </c>
      <c r="H104" s="47" t="inlineStr">
        <is>
          <t>Con 96,8° l'ora resta tra 9:56 e 10:30 per tutta la vita: luce del mattino e ombre utili sull'Italia mantenute; lancio (A1-bis), GMAT e report già fatti restano validi</t>
        </is>
      </c>
      <c r="I104" s="47" t="inlineStr">
        <is>
          <t>D-012 (solo la motivazione), requisito di lancio di A1-bis invariato, illuminazione delle riprese diurne (ora 10:00–10:30)</t>
        </is>
      </c>
      <c r="J104" s="47" t="inlineStr">
        <is>
          <t>DR-59</t>
        </is>
      </c>
      <c r="K104" s="47" t="n"/>
      <c r="L104" s="47" t="inlineStr">
        <is>
          <t>Approvata</t>
        </is>
      </c>
      <c r="M104" s="47" t="n"/>
      <c r="N104" s="47" t="inlineStr">
        <is>
          <t>Chat del 30/10/2026 (A5.6.2); PULSE_EPS/A5.6/confronto_gmat.py</t>
        </is>
      </c>
      <c r="O104" s="47" t="inlineStr">
        <is>
          <t>Python con −0,33°/anno dava 9:01 a fine vita, con −0,030°/anno (media di Gauss del solo Sole, deriva_inclinazione.py) 11:09: il secondo sbagliava perché usava l'inclinazione eliosincrona da solo J2 (96,68° invece di ~96,70°) e non vedeva l'oscillazione annua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 | 30/10/2026 (D-088): verificato con il telescopio RC: a ±37 µm l'errore d'onda medio sale da 18 a ~35 nm (sotto λ/14 = 39 nm); a ±50 µm 44 nm. Valore invariato. | 30/10/2026 (D-098): con le aste in Invar il fuoco varia di ~1,7 µm/K e non risente dell'umidità.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 | 30/10/2026 (D-101): con il rallentamento assestamento + ripresa ≤ 6,9 s (rampa nello slew, 6,2 s prima del commissioning); tra bersagli senza slew servono ≥ ~51 s (~380 km) a nadir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 | 30/10/2026 (D-089): con il telescopio RC (ombra 20%) quartiere 14 scatti (SNR 10,3), paese 3×3 10 scatti (SNR 10,2).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 | 30/10/2026 (D-089): raccolta 280 ms città, 200 ms paesi (+20% = 0,34 s): il valore ≥ 0,36 s resta valido.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 | 30/10/2026 (D-096, Proposta): con il rallentamento ×2 bastano ~10 immagini/s; ≥ ~20 resta come capacità per il ripiego senza rallentamento.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 | 30/10/2026 (D-096, Proposta): con il rallentamento ×2 l'ingresso di giorno scende a ~3,7 Gbit/s.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 | 30/10/2026 (D-101): con il rallentamento l'intervallo tra le bande è 1,58 s: ARW ammesso 0,0077°/√h (CRH03 0,006 ok, valore prudente 0,01 no) e fattore di scala ≤ ~80 ppm (DR-58)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 | 30/10/2026 (D-101, Giuseppe): al modello geometrico si aggiunge come complemento la correlazione d'immagine tra le bande (correlazione di fase su riquadri): precisione ~0,1 pixel su scene con contorni, ~1 s a scena sul processore della scheda, &lt; 0,1 s su FPGA. Limiti: mare, nuvole e zone uniformi (lì vale il modello con il giroscopio, DR-58); il NIR inverte i contrasti, quindi si allinea al rosso e non alla PAN. Da provare con immagini simulate in Fase B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 | 30/10/2026 (D-099, Proposta): N = 30 min (TBC).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 s="26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  <row r="69" s="26">
      <c r="A69" s="47" t="inlineStr">
        <is>
          <t>DR-53</t>
        </is>
      </c>
      <c r="B69" s="47" t="inlineStr">
        <is>
          <t>Derivato</t>
        </is>
      </c>
      <c r="C69" s="47" t="inlineStr">
        <is>
          <t>La nitidezza di sistema del canale pancromatico (ottica × rivelatore, senza mosso) alla frequenza di Nyquist deve restare sopra una soglia su tutto il campo del sensore diurno.</t>
        </is>
      </c>
      <c r="D69" s="47" t="inlineStr">
        <is>
          <t>MTF di sistema a Nyquist pan (145 cicli/mm) ≥ 0,12 (TBC); calcolato 0,17 centro / 0,15 bordo / 0,13 angolo</t>
        </is>
      </c>
      <c r="E69" s="47" t="inlineStr">
        <is>
          <t>Analisi ottica (Fase A/B), poi misura in laboratorio (Fase C)</t>
        </is>
      </c>
      <c r="F69" s="47" t="inlineStr">
        <is>
          <t>TBC</t>
        </is>
      </c>
      <c r="G69" s="47" t="inlineStr">
        <is>
          <t>D-088 (A5.P4)</t>
        </is>
      </c>
      <c r="H69" s="47" t="inlineStr">
        <is>
          <t>Giuseppe</t>
        </is>
      </c>
      <c r="I69" s="47" t="inlineStr">
        <is>
          <t>Sostituisce il valore ~0,28 di A2 (calcolato senza ombra centrale). Il mosso e l'assetto (Giuliano) si aggiungono in A5.P5. Soglia da confermare con l'AI (rilevamento danni a 1,5 m) | 30/10/2026 (A5.P5, p5_mtf_sistema.py): con costruzione, fuoco, diffusione, jitter, riallineamento TDI e mosso: di traverso 0,10 / 0,10 / 0,08 (centro, bordo, angolo); lungo traccia 0,067 / 0,062 / 0,055 senza rallentamento, 0,094 / 0,087 / 0,078 con D-096. Notte ~0,27. La soglia di DR-53 resta senza mosso.</t>
        </is>
      </c>
    </row>
    <row r="70" s="26">
      <c r="A70" s="47" t="inlineStr">
        <is>
          <t>DR-54</t>
        </is>
      </c>
      <c r="B70" s="47" t="inlineStr">
        <is>
          <t>Derivato</t>
        </is>
      </c>
      <c r="C70" s="47" t="inlineStr">
        <is>
          <t>I sensori diurno e notturno (commerciali) devono essere provati alla radiazione prima del volo e protetti dal blocco da particella singola (latch-up).</t>
        </is>
      </c>
      <c r="D70" s="47" t="inlineStr">
        <is>
          <t>Dose totale ≥ 2 volte la dose di missione (dose di 2 anni a 302 km da calcolare in Fase B, stima pochi krad); prova a protoni e ioni pesanti; limitatore di corrente con spegnimento e riavvio automatico</t>
        </is>
      </c>
      <c r="E70" s="47" t="inlineStr">
        <is>
          <t>Prova (Fase B), analisi di dose (Fase B)</t>
        </is>
      </c>
      <c r="F70" s="47" t="inlineStr">
        <is>
          <t>TBC</t>
        </is>
      </c>
      <c r="G70" s="47" t="inlineStr">
        <is>
          <t>D-093, D-094 (A5.P5)</t>
        </is>
      </c>
      <c r="H70" s="47" t="inlineStr">
        <is>
          <t>Giuseppe</t>
        </is>
      </c>
      <c r="I70" s="47" t="inlineStr">
        <is>
          <t>Prove pubblicate solo su sensori parenti (GSENSE2020BSI 100 krad protoni; Sony IMX219 250 krad gamma)</t>
        </is>
      </c>
    </row>
    <row r="71" s="26">
      <c r="A71" s="47" t="inlineStr">
        <is>
          <t>DR-55</t>
        </is>
      </c>
      <c r="B71" s="47" t="inlineStr">
        <is>
          <t>Derivato</t>
        </is>
      </c>
      <c r="C71" s="47" t="inlineStr">
        <is>
          <t>Durante le riprese notturne il sensore notturno deve stare abbastanza freddo da tenere la corrente di buio entro il valore di A3.</t>
        </is>
      </c>
      <c r="D71" s="47" t="inlineStr">
        <is>
          <t>Temperatura del sensore ≤ ~0 °C (TBC) durante le riprese notturne; buio ≤ 3 e-/s/pixel</t>
        </is>
      </c>
      <c r="E71" s="47" t="inlineStr">
        <is>
          <t>Analisi termica (A5.P7), poi prova in termo-vuoto (Fase C)</t>
        </is>
      </c>
      <c r="F71" s="47" t="inlineStr">
        <is>
          <t>TBC</t>
        </is>
      </c>
      <c r="G71" s="47" t="inlineStr">
        <is>
          <t>D-094, D-095 (A5.P5)</t>
        </is>
      </c>
      <c r="H71" s="47" t="inlineStr">
        <is>
          <t>Giuseppe</t>
        </is>
      </c>
      <c r="I71" s="47" t="inlineStr">
        <is>
          <t>0,4 e-/s a −20 °C (costruttore), raddoppio ogni ~6,5 °C (regola tipica, TBC): 3 e-/s a ~0 °C, ~28 e-/s a +20 °C. Dopo la radiazione il buio cresce (R-52)</t>
        </is>
      </c>
    </row>
    <row r="72" s="26">
      <c r="A72" s="47" t="inlineStr">
        <is>
          <t>DR-56</t>
        </is>
      </c>
      <c r="B72" s="47" t="inlineStr">
        <is>
          <t>Derivato</t>
        </is>
      </c>
      <c r="C72" s="47" t="inlineStr">
        <is>
          <t>Durante ogni scena diurna l'assetto deve eseguire un beccheggio all'indietro a velocità costante pari a circa metà della velocità angolare della linea di vista (slow-down), insieme allo yaw steering.</t>
        </is>
      </c>
      <c r="D72" s="47" t="inlineStr">
        <is>
          <t>~0,70°/s a nadir (0,50°/s a 45° di traverso, 0,35°/s a 45° lungo traccia), per ~2,6 s a scena; velocità nota con l'errore di DR-18 e stabile tra i passaggi TDI (residuo dopo riallineamento ≤ 1/3 pixel, DR-26) (TBC)</t>
        </is>
      </c>
      <c r="E72" s="47" t="inlineStr">
        <is>
          <t>Simulazione GNC (A5.7 / Fase B)</t>
        </is>
      </c>
      <c r="F72" s="47" t="inlineStr">
        <is>
          <t>TBC</t>
        </is>
      </c>
      <c r="G72" s="47" t="inlineStr">
        <is>
          <t>D-096 (A5.P5)</t>
        </is>
      </c>
      <c r="H72" s="47" t="inlineStr">
        <is>
          <t>Entrambi</t>
        </is>
      </c>
      <c r="I72" s="47" t="inlineStr">
        <is>
          <t>Valori: metà delle velocità della FMC notturna di A3 (1,4 / 1,0 / 0,7°/s). Giuliano: profilo e fattibilità; Giuseppe: rapporto di rallentamento e frequenza delle immagini | 30/10/2026 (D-101, Proposta): fattibile con le ruote e il controllo di A5.3. Ripresa 4,2 s per scena (2,6 s di scena + 1,58 s tra le bande), rotazione 2,9° a nadir (2,1° a 45° di traverso, 1,5° lungo traccia); rampa nello slew; fattore di scala DR-58 | 30/10/2026 Giuseppe: durata 4,2 s e rotazione 2,9° accettate (D-101 Approvata); conti di frame e dati invariati</t>
        </is>
      </c>
    </row>
    <row r="73" s="26">
      <c r="A73" s="47" t="inlineStr">
        <is>
          <t>DR-57</t>
        </is>
      </c>
      <c r="B73" s="47" t="inlineStr">
        <is>
          <t>Derivato</t>
        </is>
      </c>
      <c r="C73" s="47" t="inlineStr">
        <is>
          <t>Durante le riprese il telescopio deve restare vicino alla sua temperatura di regolazione, e i materiali devono avere dilatazione bassa, perché il fuoco resti entro DR-03.</t>
        </is>
      </c>
      <c r="D73" s="47" t="inlineStr">
        <is>
          <t>±11 K dalla temperatura di regolazione (~15–20 °C, TBC); specchi ≤ ~0,1 ppm/K; distanziali tra gli specchi in Invar (~1,2 ppm/K)</t>
        </is>
      </c>
      <c r="E73" s="47" t="inlineStr">
        <is>
          <t>Analisi termo-ottica (Fase B), prova in termo-vuoto con misura del fuoco (Fase C)</t>
        </is>
      </c>
      <c r="F73" s="47" t="inlineStr">
        <is>
          <t>TBC</t>
        </is>
      </c>
      <c r="G73" s="47" t="inlineStr">
        <is>
          <t>D-098, D-100 (A5.P7)</t>
        </is>
      </c>
      <c r="H73" s="47" t="inlineStr">
        <is>
          <t>Giuseppe</t>
        </is>
      </c>
      <c r="I73" s="47" t="inlineStr">
        <is>
          <t>Metà della tolleranza di DR-03 (±18,5 µm) assegnata al termico, l'altra metà a montaggio e gravità. Sensibilità 1,7 µm/K (fuoco_termico.py)</t>
        </is>
      </c>
    </row>
    <row r="74" s="26">
      <c r="A74" s="47" t="inlineStr">
        <is>
          <t>DR-58</t>
        </is>
      </c>
      <c r="B74" s="47" t="inlineStr">
        <is>
          <t>Derivato</t>
        </is>
      </c>
      <c r="C74" s="47" t="inlineStr">
        <is>
          <t>Durante la ripresa diurna con rallentamento il fattore di scala del giroscopio sull'asse di beccheggio deve essere noto abbastanza da tenere l'errore di conoscenza tra la PAN e l'ultima banda entro DR-18; va calibrato in volo contro lo star tracker alla velocità del rallentamento.</t>
        </is>
      </c>
      <c r="D74" s="47" t="inlineStr">
        <is>
          <t>≤ ~80 ppm (con ARW 0,006°/√h; ≤ 133 ppm da solo) a ~0,77°/s inerziali (TBC)</t>
        </is>
      </c>
      <c r="E74" s="47" t="inlineStr">
        <is>
          <t>Analisi, poi calibrazione al commissioning e periodica</t>
        </is>
      </c>
      <c r="F74" s="47" t="inlineStr">
        <is>
          <t>TBC</t>
        </is>
      </c>
      <c r="G74" s="47" t="inlineStr">
        <is>
          <t>D-101 (A5.4.4)</t>
        </is>
      </c>
      <c r="H74" s="47" t="inlineStr">
        <is>
          <t>Giuliano</t>
        </is>
      </c>
      <c r="I74" s="47" t="inlineStr">
        <is>
          <t>Errore = fs·ω·T: 100 ppm × 0,0134 rad/s × 1,58 s = 2,1 µrad (~0,6 m). Ad assetto fisso bastavano ~2.500 ppm. CRH03: ±0,15–0,3% sulla temperatura, non linearità 0,02–0,05% (datasheet rev 4)</t>
        </is>
      </c>
    </row>
    <row r="75" s="26">
      <c r="A75" s="47" t="inlineStr">
        <is>
          <t>DR-59</t>
        </is>
      </c>
      <c r="B75" s="47" t="inlineStr">
        <is>
          <t>Derivato</t>
        </is>
      </c>
      <c r="C75" s="47" t="inlineStr">
        <is>
          <t>L'ora locale del nodo discendente deve restare entro una tolleranza attorno alle 10:30 per tutta la vita operativa.</t>
        </is>
      </c>
      <c r="D75" s="47" t="inlineStr">
        <is>
          <t>Tolleranza TBD (A6); con 96,8° GMAT dà 10:30 → 9:56 in 2 anni</t>
        </is>
      </c>
      <c r="E75" s="47" t="inlineStr">
        <is>
          <t>Analisi di missione (GMAT)</t>
        </is>
      </c>
      <c r="F75" s="47" t="inlineStr">
        <is>
          <t>TBD</t>
        </is>
      </c>
      <c r="G75" s="47" t="inlineStr">
        <is>
          <t>D-103 (A5.6.2)</t>
        </is>
      </c>
      <c r="H75" s="47" t="inlineStr">
        <is>
          <t>Giuliano</t>
        </is>
      </c>
      <c r="I75" s="47" t="inlineStr">
        <is>
          <t>Promemoria da D-103 (opzione C): la tolleranza non era mai stata scritta. Da fissare in A6 insieme all'illuminazione minima delle riprese diurne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inlineStr">
        <is>
          <t>30/10/2026 (D-088): con l'ombra del telescopio RC l'MTF di sistema a Nyquist è 0,13–0,17 (DR-53): aliasing ancora più basso, immagine più morbida.</t>
        </is>
      </c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 | 30/10/2026 (D-088): il telescopio RC tollera ±37 µm (errore d'onda medio ~35 nm); oltre serve il fuoco regolabile (R-49). | 30/10/2026 (D-099): telescopio isolato, +1–2 K in 30 min se il motore scalda l'interno di 5 K; N = 30 min (TBC).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Chiuso</t>
        </is>
      </c>
      <c r="L43" s="47" t="inlineStr">
        <is>
          <t>A5</t>
        </is>
      </c>
      <c r="M43" s="47" t="inlineStr">
        <is>
          <t>Nato con D-076 (30/10/2026) | 30/10/2026 (A5.P4): avverato e risolto. Il Korsch in asse non regge 3,9° (fasci sovrapposti sullo specchio di rinvio); sostituito dal telescopio RC + 3 lenti (D-088), che regge tutto il campo.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 s="26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  <row r="50" s="26">
      <c r="A50" s="47" t="inlineStr">
        <is>
          <t>R-49</t>
        </is>
      </c>
      <c r="B50" s="47" t="inlineStr">
        <is>
          <t>La struttura in fibra di carbonio cambia lunghezza dopo il lancio (rilascio di umidità nel vuoto nei primi mesi, assestamento) o con la temperatura, e il sensore esce dal fuoco</t>
        </is>
      </c>
      <c r="C50" s="47" t="inlineStr">
        <is>
          <t>Fuoco fuori da ±37 µm (DR-03): immagini diurne meno nitide (a ±50 µm errore d'onda 44 nm, a ±100 µm 81 nm)</t>
        </is>
      </c>
      <c r="D50" s="47" t="inlineStr">
        <is>
          <t>Media</t>
        </is>
      </c>
      <c r="E50" s="47" t="inlineStr">
        <is>
          <t>Media</t>
        </is>
      </c>
      <c r="F50" s="50">
        <f>IF(OR(D50="",E50=""),"",MATCH(D50,{"Bassa","Media","Alta"},0)*MATCH(E50,{"Bassa","Media","Alta"},0))</f>
        <v/>
      </c>
      <c r="G50" s="47" t="inlineStr">
        <is>
          <t>Carbonio con resina a basso assorbimento d'acqua e barriera all'umidità; analisi termo-ottica e prova in termo-vuoto (Fase B/C); se il margine non basta, piccolo meccanismo di fuoco sul secondario (decisione in Fase B); fuoco controllato in volo al commissioning</t>
        </is>
      </c>
      <c r="H50" s="47" t="inlineStr">
        <is>
          <t>Fase B</t>
        </is>
      </c>
      <c r="I50" s="47" t="n"/>
      <c r="J50" s="47" t="inlineStr">
        <is>
          <t>Giuseppe</t>
        </is>
      </c>
      <c r="K50" s="47" t="inlineStr">
        <is>
          <t>In mitigazione</t>
        </is>
      </c>
      <c r="L50" s="47" t="inlineStr">
        <is>
          <t>A5</t>
        </is>
      </c>
      <c r="M50" s="47" t="inlineStr">
        <is>
          <t>Nato con D-088 e D-090 (30/10/2026). Collegato a R-24 (calore del motore) | 30/10/2026 (D-098): l'umidità è risolta con le aste in Invar; resta la deriva con la temperatura (±11 K, DR-57) e l'assestamento al lancio, da verificare in Fase B; motorino di fuoco come riserva.</t>
        </is>
      </c>
    </row>
    <row r="51" s="26">
      <c r="A51" s="47" t="inlineStr">
        <is>
          <t>R-50</t>
        </is>
      </c>
      <c r="B51" s="47" t="inlineStr">
        <is>
          <t>Luce parassita: luce che passa dal foro centrale del primario o rimbalza sul tubo e arriva ai sensori senza formare immagine</t>
        </is>
      </c>
      <c r="C51" s="47" t="inlineStr">
        <is>
          <t>Contrasto più basso; di notte fondo più alto vicino a città illuminate o con la Luna (SNR più basso, falsi segnali nella conferma blackout)</t>
        </is>
      </c>
      <c r="D51" s="47" t="inlineStr">
        <is>
          <t>Media</t>
        </is>
      </c>
      <c r="E51" s="47" t="inlineStr">
        <is>
          <t>Media</t>
        </is>
      </c>
      <c r="F51" s="50">
        <f>IF(OR(D51="",E51=""),"",MATCH(D51,{"Bassa","Media","Alta"},0)*MATCH(E51,{"Bassa","Media","Alta"},0))</f>
        <v/>
      </c>
      <c r="G51" s="47" t="inlineStr">
        <is>
          <t>Tubetto paraluce nel foro del primario e paraluce intorno al secondario (normali negli RC), alette interne nel tubo, vernice nera; analisi di luce parassita in Fase B; fondo misurato e tolto come per la Luna (D-063)</t>
        </is>
      </c>
      <c r="H51" s="47" t="inlineStr">
        <is>
          <t>Fase B</t>
        </is>
      </c>
      <c r="I51" s="47" t="n"/>
      <c r="J51" s="47" t="inlineStr">
        <is>
          <t>Giuseppe</t>
        </is>
      </c>
      <c r="K51" s="47" t="inlineStr">
        <is>
          <t>Aperto</t>
        </is>
      </c>
      <c r="L51" s="47" t="inlineStr">
        <is>
          <t>A5</t>
        </is>
      </c>
      <c r="M51" s="47" t="inlineStr">
        <is>
          <t>Nato con D-088 (30/10/2026). Collegato a R-20 (modello SNR senza luce parassita)</t>
        </is>
      </c>
    </row>
    <row r="52" s="26">
      <c r="A52" s="47" t="inlineStr">
        <is>
          <t>R-51</t>
        </is>
      </c>
      <c r="B52" s="47" t="inlineStr">
        <is>
          <t>Il calore della scheda payload, montata vicino al piano focale (D-091), scalda i sensori o il telescopio</t>
        </is>
      </c>
      <c r="C52" s="47" t="inlineStr">
        <is>
          <t>Fuoco spostato oltre ±37 µm (DR-03) o sensore notturno più caldo (più corrente di buio, SNR notturno più basso)</t>
        </is>
      </c>
      <c r="D52" s="47" t="inlineStr">
        <is>
          <t>Bassa</t>
        </is>
      </c>
      <c r="E52" s="47" t="inlineStr">
        <is>
          <t>Media</t>
        </is>
      </c>
      <c r="F52" s="50">
        <f>IF(OR(D52="",E52=""),"",MATCH(D52,{"Bassa","Media","Alta"},0)*MATCH(E52,{"Bassa","Media","Alta"},0))</f>
        <v/>
      </c>
      <c r="G52" s="47" t="inlineStr">
        <is>
          <t>Scheda fissata alla struttura con isolamento termico verso il telescopio, radiatore proprio, accesa solo intorno alle riprese (~10 min); verifica nell'analisi termica A5.P7; riserva: scheda divisa in due (opzione C di D-091)</t>
        </is>
      </c>
      <c r="H52" s="47" t="inlineStr">
        <is>
          <t>A5.P7, Fase B</t>
        </is>
      </c>
      <c r="I52" s="47" t="n"/>
      <c r="J52" s="47" t="inlineStr">
        <is>
          <t>Giuseppe</t>
        </is>
      </c>
      <c r="K52" s="47" t="inlineStr">
        <is>
          <t>Aperto</t>
        </is>
      </c>
      <c r="L52" s="47" t="inlineStr">
        <is>
          <t>A5</t>
        </is>
      </c>
      <c r="M52" s="47" t="inlineStr">
        <is>
          <t>Nato con D-091 (30/10/2026). Collegato a R-24, R-49</t>
        </is>
      </c>
    </row>
    <row r="53" s="26">
      <c r="A53" s="47" t="inlineStr">
        <is>
          <t>R-52</t>
        </is>
      </c>
      <c r="B53" s="47" t="inlineStr">
        <is>
          <t>I sensori commerciali (IMX342 di giorno, GSENSE400BSI di notte) non reggono bene la radiazione: blocco da particella singola (latch-up) o pixel caldi che crescono negli anni</t>
        </is>
      </c>
      <c r="C53" s="47" t="inlineStr">
        <is>
          <t>Latch-up: sensore danneggiato se non protetto. Pixel caldi e buio in aumento: SNR notturno più basso e falsi punti luminosi (conferma blackout)</t>
        </is>
      </c>
      <c r="D53" s="47" t="inlineStr">
        <is>
          <t>Media</t>
        </is>
      </c>
      <c r="E53" s="47" t="inlineStr">
        <is>
          <t>Media</t>
        </is>
      </c>
      <c r="F53" s="50">
        <f>IF(OR(D53="",E53=""),"",MATCH(D53,{"Bassa","Media","Alta"},0)*MATCH(E53,{"Bassa","Media","Alta"},0))</f>
        <v/>
      </c>
      <c r="G53" s="47" t="inlineStr">
        <is>
          <t>Prove a protoni e ioni pesanti in Fase B (DR-54); limitatore di corrente con riavvio; mappa dei pixel caldi aggiornata in volo e tolta a terra; sensore notturno freddo (DR-55); seconde fonti: GMAX3265 (giorno), Teledyne Emerald 67M USV già selezionato per lo spazio (riserva con meno SNR)</t>
        </is>
      </c>
      <c r="H53" s="47" t="inlineStr">
        <is>
          <t>Fase B</t>
        </is>
      </c>
      <c r="I53" s="47" t="n"/>
      <c r="J53" s="47" t="inlineStr">
        <is>
          <t>Giuseppe</t>
        </is>
      </c>
      <c r="K53" s="47" t="inlineStr">
        <is>
          <t>Aperto</t>
        </is>
      </c>
      <c r="L53" s="47" t="inlineStr">
        <is>
          <t>A5</t>
        </is>
      </c>
      <c r="M53" s="47" t="inlineStr">
        <is>
          <t>Nato con D-093 e D-094 (30/10/2026)</t>
        </is>
      </c>
    </row>
    <row r="54" s="26">
      <c r="A54" s="47" t="inlineStr">
        <is>
          <t>R-53</t>
        </is>
      </c>
      <c r="B54" s="47" t="inlineStr">
        <is>
          <t>Il controllo d'assetto non riesce a tenere il rallentamento diurno (D-096) abbastanza regolare, oppure la manovra allunga troppo le scene</t>
        </is>
      </c>
      <c r="C54" s="47" t="inlineStr">
        <is>
          <t>Passaggi TDI non allineati (immagine sfocata) o meno scene per passaggio sull'Italia</t>
        </is>
      </c>
      <c r="D54" s="47" t="inlineStr">
        <is>
          <t>Bassa</t>
        </is>
      </c>
      <c r="E54" s="47" t="inlineStr">
        <is>
          <t>Media</t>
        </is>
      </c>
      <c r="F54" s="50">
        <f>IF(OR(D54="",E54=""),"",MATCH(D54,{"Bassa","Media","Alta"},0)*MATCH(E54,{"Bassa","Media","Alta"},0))</f>
        <v/>
      </c>
      <c r="G54" s="47" t="inlineStr">
        <is>
          <t>Simulazione del profilo con il modello ADCS di A5.3 (Giuliano); riallineamento a bordo con il modello geometrico (DR-26); ripiego opzione C (0,1 ms senza manovra, SNR −30%) o rallentamento più piccolo</t>
        </is>
      </c>
      <c r="H54" s="47" t="inlineStr">
        <is>
          <t>A5.7, Fase B</t>
        </is>
      </c>
      <c r="I54" s="47" t="n"/>
      <c r="J54" s="47" t="inlineStr">
        <is>
          <t>Entrambi</t>
        </is>
      </c>
      <c r="K54" s="47" t="inlineStr">
        <is>
          <t>In mitigazione</t>
        </is>
      </c>
      <c r="L54" s="47" t="inlineStr">
        <is>
          <t>A5</t>
        </is>
      </c>
      <c r="M54" s="47" t="inlineStr">
        <is>
          <t>Nato con D-096 (30/10/2026) | 30/10/2026 (D-101): simulazione 1-asse fatta: profilo tenuto (deriva ≤ 0,001°/s, errore ≤ 0,012°), +2,1–2,7 s per scena, giorni con ≥ 4 scene 40% → 30%. Il rischio residuo passa al fattore di scala (R-54) e alla 3-assi in Fase B</t>
        </is>
      </c>
    </row>
    <row r="55">
      <c r="A55" s="47" t="inlineStr">
        <is>
          <t>R-54</t>
        </is>
      </c>
      <c r="B55" s="47" t="inlineStr">
        <is>
          <t>La calibrazione in volo del fattore di scala del giroscopio di beccheggio non arriva a ~80 ppm (DR-58), o deriva con la temperatura tra una calibrazione e l'altra</t>
        </is>
      </c>
      <c r="C55" s="47" t="inlineStr">
        <is>
          <t>Bande colore e passaggi TDI disallineati di 1–4 pixel nelle riprese diurne con rallentamento</t>
        </is>
      </c>
      <c r="D55" s="47" t="inlineStr">
        <is>
          <t>Media</t>
        </is>
      </c>
      <c r="E55" s="47" t="inlineStr">
        <is>
          <t>Media</t>
        </is>
      </c>
      <c r="F55" s="50">
        <f>IF(OR(D55="",E55=""),"",MATCH(D55,{"Bassa","Media","Alta"},0)*MATCH(E55,{"Bassa","Media","Alta"},0))</f>
        <v/>
      </c>
      <c r="G55" s="47" t="inlineStr">
        <is>
          <t>Calibrazione contro lo star tracker alla velocità del rallentamento, al commissioning e periodica; giroscopio con compensazione termica; riallineamento per correlazione tra le bande (DR-26); ripiego: rallentamento disattivato (opzione C di D-096)</t>
        </is>
      </c>
      <c r="H55" s="47" t="inlineStr">
        <is>
          <t>Fase B (3-assi e modello del giroscopio), commissioning</t>
        </is>
      </c>
      <c r="I55" s="47" t="n"/>
      <c r="J55" s="47" t="inlineStr">
        <is>
          <t>Entrambi</t>
        </is>
      </c>
      <c r="K55" s="47" t="inlineStr">
        <is>
          <t>In mitigazione</t>
        </is>
      </c>
      <c r="L55" s="47" t="inlineStr">
        <is>
          <t>A5</t>
        </is>
      </c>
      <c r="M55" s="47" t="inlineStr">
        <is>
          <t>Nato con D-101 (30/10/2026) | 30/10/2026 (D-101 Approvata): correlazione tra le bande a bordo adottata come complemento (DR-26): sulle scene con contorni corregge l'errore del fattore di scala; il rischio residuo resta sulle zone uniformi (mare, nuvole), dove il disallineamento conta meno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2026-10-30T17:14:28Z</dcterms:modified>
  <cp:revision>0</cp:revision>
</cp:coreProperties>
</file>