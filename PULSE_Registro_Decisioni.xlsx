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9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 | 30/10/2026: D-081 (Proposta, A5.P3) propone che Fucino riceva anche gli allarmi urgenti nello stesso passaggio della ripresa | 30/10/2026 (D-081, G2): Fucino riceve anche gli allarmi diurni urgenti quando la finestra lo permette.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n"/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inlineStr">
        <is>
          <t>30/10/2026 Giuseppe: con D-076 (TMA in asse, Proposta) il campo di 3,9° per i sensori affiancati resta l'obiettivo ma va verificato per un TMA in asse (R-42). | 30/10/2026 (A5.P4): campo di 3,9° verificato con il telescopio RC + 3 lenti (D-088); il Korsch in asse non lo reggeva.</t>
        </is>
      </c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Superata</t>
        </is>
      </c>
      <c r="M32" s="47" t="inlineStr">
        <is>
          <t>D-077</t>
        </is>
      </c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 | 30/10/2026: EPS di piattaforma assegnato a Giuliano con D-087 (Proposta); le altre voci restano aperte | 30/10/2026: D-087 approvata da Giuseppe (EPS a Giuliano)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n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Superata</t>
        </is>
      </c>
      <c r="M68" s="47" t="inlineStr">
        <is>
          <t>D-083</t>
        </is>
      </c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 | 30/10/2026: superata da D-083 (scarico nello stesso contatto notturno, capacità verificata in A5.5.5).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Approvata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 | 30/10/2026: posizione dell'antenna a nadir nella striscia libera di D-078 con patch compatta (D-080). Approvazione formale di Giuseppe da registrare (D-078 la presuppone). | Antenna a nadir: D-080. | 30/10/2026 Giuseppe: approvata (antenna a nadir nella striscia libera di D-078, patch ≤ 60 mm di D-080). | 30/10/2026 (D-082): l'UHF di riserva aggiunge un'antenna dispiegabile omnidirezionale.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Approvata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 | 30/10/2026 Giuliano: approvata. 10 allarmi = 6,9 MB, ~13 s a 4,3 Mbit/s (D-069).</t>
        </is>
      </c>
    </row>
    <row r="72">
      <c r="A72" s="47" t="inlineStr">
        <is>
          <t>D-071</t>
        </is>
      </c>
      <c r="B72" s="48" t="n">
        <v>46324</v>
      </c>
      <c r="C72" s="47" t="inlineStr">
        <is>
          <t>A5</t>
        </is>
      </c>
      <c r="D72" s="47" t="inlineStr">
        <is>
          <t>Giuseppe</t>
        </is>
      </c>
      <c r="E72" s="47" t="inlineStr">
        <is>
          <t>AI / Dati</t>
        </is>
      </c>
      <c r="F72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72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72" s="47" t="inlineStr">
        <is>
          <t>Comprime dove pesa (scene diurne) e lascia intatti allarmi, notte e calibrazione</t>
        </is>
      </c>
      <c r="I72" s="47" t="inlineStr">
        <is>
          <t>Volume di scarico (A5.5, Giuliano); carico di calcolo della scheda (A5.P3)</t>
        </is>
      </c>
      <c r="J72" s="47" t="inlineStr">
        <is>
          <t>DR-43</t>
        </is>
      </c>
      <c r="K72" s="47" t="inlineStr">
        <is>
          <t>R-41</t>
        </is>
      </c>
      <c r="L72" s="47" t="inlineStr">
        <is>
          <t>Approvata</t>
        </is>
      </c>
      <c r="M72" s="47" t="n"/>
      <c r="N72" s="47" t="inlineStr">
        <is>
          <t>Chat del 29/10/2026 (A5.P1)</t>
        </is>
      </c>
      <c r="O72" s="47" t="inlineStr">
        <is>
          <t>Scena diurna 9,7 × 9,7 km a 12 bit: pan 6464 × 6467 px = 62,7 MB + RGB-NIR 4 × 3232 × 3233 = 62,7 MB. Rapporti tipici degli standard CCSDS, da verificare su immagini reali 30/10/2026: ID rinumerato (era D-068) per un conflitto di numerazione tra le due copie del registro.</t>
        </is>
      </c>
    </row>
    <row r="73">
      <c r="A73" s="47" t="inlineStr">
        <is>
          <t>D-072</t>
        </is>
      </c>
      <c r="B73" s="48" t="n">
        <v>46324</v>
      </c>
      <c r="C73" s="47" t="inlineStr">
        <is>
          <t>A5</t>
        </is>
      </c>
      <c r="D73" s="47" t="inlineStr">
        <is>
          <t>Giuseppe</t>
        </is>
      </c>
      <c r="E73" s="47" t="inlineStr">
        <is>
          <t>AI / Dati</t>
        </is>
      </c>
      <c r="F73" s="47" t="inlineStr">
        <is>
          <t>Scene diurne intere per la verifica dell'AI (dimostratore): 4 al giorno per satellite nei primi 3 mesi di operazioni (~124 MB/giorno compresse, D-071), poi 1 al giorno (~31 MB/giorno). Le scene notturne intere sono già coperte dall'archivio (D-067)</t>
        </is>
      </c>
      <c r="G73" s="47" t="inlineStr">
        <is>
          <t>1 ogni 2 giorni (~16 MB/giorno, verifica dell'AI lenta); 1 al giorno sempre (~31 MB/giorno); 4 al giorno sempre (~124 MB/giorno per tutta la missione)</t>
        </is>
      </c>
      <c r="H73" s="47" t="inlineStr">
        <is>
          <t>Molti esempi quando l'AI va verificata e aggiornata, volume leggero in routine; due casi chiari per il link budget</t>
        </is>
      </c>
      <c r="I73" s="47" t="inlineStr">
        <is>
          <t>Volume di scarico e scelta S / S+X (A5.5, Giuliano); pianificazione delle riprese diurne</t>
        </is>
      </c>
      <c r="J73" s="47" t="inlineStr">
        <is>
          <t>DR-44</t>
        </is>
      </c>
      <c r="K73" s="47" t="n"/>
      <c r="L73" s="47" t="inlineStr">
        <is>
          <t>Approvata</t>
        </is>
      </c>
      <c r="M73" s="47" t="n"/>
      <c r="N73" s="47" t="inlineStr">
        <is>
          <t>Chat del 29/10/2026 (A5.P1)</t>
        </is>
      </c>
      <c r="O73" s="47" t="inlineStr">
        <is>
          <t>Proposta: fissa un volume che Giuliano deve scaricare. 4 scene al giorno = circa tutte le occasioni di un passaggio diurno sull'Italia (TBC con Giuliano) 30/10/2026: ID rinumerato (era D-069) per un conflitto di numerazione tra le due copie del registro. | 30/10/2026 Giuliano: approvata. Inteso come "fino a 4" scene al giorno per satellite: stima di primo ordine (orbita semplice 30 giorni, Italia come poligono, raggio 310 km, bersagli a ≥ 450 km lungo traccia, D-045) 0,9 passaggi diurni sull'Italia al giorno per satellite, ~1.100 km utili lungo traccia, in media 2,7 scene/giorno, 4 nel 40% dei giorni, alcuni giorni 0. Il valore 4 resta nel budget come caso conservativo; bersagli vicini alla traccia (manovre più piccole) ne permettono di più, da vedere in A6.</t>
        </is>
      </c>
    </row>
    <row r="74">
      <c r="A74" s="47" t="inlineStr">
        <is>
          <t>D-073</t>
        </is>
      </c>
      <c r="B74" s="48" t="n">
        <v>46325</v>
      </c>
      <c r="C74" s="47" t="inlineStr">
        <is>
          <t>A5</t>
        </is>
      </c>
      <c r="D74" s="47" t="inlineStr">
        <is>
          <t>Giuliano</t>
        </is>
      </c>
      <c r="E74" s="47" t="inlineStr">
        <is>
          <t>TT&amp;C / Terra</t>
        </is>
      </c>
      <c r="F74" s="47" t="inlineStr">
        <is>
          <t>Priorità della coda di scarico (P2): classi 1) stato del satellite in tempo reale, 2) allarmi diurni e zone notturne candidate, 3) telemetria registrata, 4) immagini di validazione e commissioning, 5) archivio notturno; un dato in coda da oltre 24 h sale di una classe; l'ordine si può cambiare da terra</t>
        </is>
      </c>
      <c r="G74" s="47" t="inlineStr">
        <is>
          <t>P1: classi fisse senza invecchiamento (archivio fermo a lungo, R-37); P3: ordine deciso da terra a ogni contatto (lavoro operativo, coda ferma se il caricamento salta)</t>
        </is>
      </c>
      <c r="H74" s="47" t="inlineStr">
        <is>
          <t>Gli allarmi passano sempre per primi (0,26 MB = 0,5 s a 4,3 Mbit/s); l'invecchiamento garantisce lo scarico dell'archivio entro le 24 h di D-067. L'ordine conta solo quando la coda supera il contatto (~150 MB in 4,7 min)</t>
        </is>
      </c>
      <c r="I74" s="47" t="inlineStr">
        <is>
          <t>Software di bordo (gestione della memoria), scheda AI (etichette di classe sui prodotti), D-067, R-37</t>
        </is>
      </c>
      <c r="J74" s="47" t="inlineStr">
        <is>
          <t>DR-45, DR-35, DR-36</t>
        </is>
      </c>
      <c r="K74" s="47" t="inlineStr">
        <is>
          <t>R-37</t>
        </is>
      </c>
      <c r="L74" s="47" t="inlineStr">
        <is>
          <t>Approvata</t>
        </is>
      </c>
      <c r="M74" s="47" t="n"/>
      <c r="N74" s="47" t="inlineStr">
        <is>
          <t>A5.5.6 – chat del 30/10/2026; PULSE A5.5 (spinta_passaggi.py)</t>
        </is>
      </c>
      <c r="O74" s="47" t="inlineStr">
        <is>
          <t>Proposta: fissa l'ordine di scarico dei prodotti di Giuseppe (validazione, archivio) 30/10/2026: ID rinumerato (era D-070) per un conflitto di numerazione tra le due copie del registro. | 30/10/2026 Giuseppe: approvata.</t>
        </is>
      </c>
    </row>
    <row r="75">
      <c r="A75" s="47" t="inlineStr">
        <is>
          <t>D-074</t>
        </is>
      </c>
      <c r="B75" s="48" t="n">
        <v>46325</v>
      </c>
      <c r="C75" s="47" t="inlineStr">
        <is>
          <t>A5</t>
        </is>
      </c>
      <c r="D75" s="47" t="inlineStr">
        <is>
          <t>Giuliano</t>
        </is>
      </c>
      <c r="E75" s="47" t="inlineStr">
        <is>
          <t>Propulsione</t>
        </is>
      </c>
      <c r="F75" s="47" t="inlineStr">
        <is>
          <t>Spinta e passaggi sull'Italia (S3): spinta vietata da N min prima a 5 min dopo i soli passaggi con ripresa pianificata (coperchio chiuso in spinta, D-034); un comando di emergenza interrompe subito la spinta (motore spento, coperchio aperto). N dall'analisi termica del payload (TBC)</t>
        </is>
      </c>
      <c r="G75" s="47" t="inlineStr">
        <is>
          <t>S1: divieto prima di ogni passaggio sull'Italia (prudente ma inutilmente rigido); S2: divieto solo prima delle riprese pianificate, senza interruzione per emergenza</t>
        </is>
      </c>
      <c r="H75" s="47" t="inlineStr">
        <is>
          <t>Tempo abbondante: con divieto da 60 min prima (5 bersagli, 1,33 passaggi/giorno, GMAT gen 2026) restano 22,4 h/giorno, 21,7 h con 90 min; per tutta l'Italia (2–3 passaggi/giorno, stima) &gt; ~20 h, contro 4,2 h (Sole medio) e 7,8 h (Sole alto) di spinta. Con D-068 contatti e spinta convivono. Se l'emergenza arriva meno di N min prima del passaggio, la prima ripresa può essere degradata</t>
        </is>
      </c>
      <c r="I75" s="47" t="inlineStr">
        <is>
          <t>Piano operativo (R-14), termico del payload (N), potenza in eclissi (A5.6), software di bordo</t>
        </is>
      </c>
      <c r="J75" s="47" t="inlineStr">
        <is>
          <t>DR-46, DR-37</t>
        </is>
      </c>
      <c r="K75" s="47" t="inlineStr">
        <is>
          <t>R-14</t>
        </is>
      </c>
      <c r="L75" s="47" t="inlineStr">
        <is>
          <t>Approvata</t>
        </is>
      </c>
      <c r="M75" s="47" t="n"/>
      <c r="N75" s="47" t="inlineStr">
        <is>
          <t>A5.5.6 – chat del 30/10/2026; PULSE A5.5 (spinta_passaggi.py)</t>
        </is>
      </c>
      <c r="O75" s="47" t="inlineStr">
        <is>
          <t>Proposta: N dipende dall'analisi termica di Giuseppe; l'apertura rapida del coperchio tocca il suo payload. Vincolo vero da verificare in A5.6: spinta da 50 W in eclissi 30/10/2026: ID rinumerato (era D-071) per un conflitto di numerazione tra le due copie del registro. | 30/10/2026 Giuseppe: approvata; N TBC fino all'analisi termica del payload (A5.P7).</t>
        </is>
      </c>
    </row>
    <row r="76">
      <c r="A76" s="47" t="inlineStr">
        <is>
          <t>D-075</t>
        </is>
      </c>
      <c r="B76" s="48" t="n">
        <v>46325</v>
      </c>
      <c r="C76" s="47" t="inlineStr">
        <is>
          <t>A5</t>
        </is>
      </c>
      <c r="D76" s="47" t="inlineStr">
        <is>
          <t>Giuliano</t>
        </is>
      </c>
      <c r="E76" s="47" t="inlineStr">
        <is>
          <t>TT&amp;C / Terra</t>
        </is>
      </c>
      <c r="F76" s="47" t="inlineStr">
        <is>
          <t>Comandi (F1): piano delle riprese per le 24 h successive caricato a ogni contatto utile da Svalbard o Fairbanks; Fucino come riserva e per i comandi nei passaggi senza ripresa; comandi autenticati e cifrati (CCSDS SDLS). Scarico delle zone notturne anche da Fucino (F3) da valutare in Fase B</t>
        </is>
      </c>
      <c r="G76" s="47" t="inlineStr">
        <is>
          <t>F2: comandi da Fucino nello stesso passaggio della ripresa (pianificazione in pochi secondi, geometria antenna–Fucino da verificare); F3 rimandata alla Fase B (allarmi notturni ~6 min prima, guadagno minimo)</t>
        </is>
      </c>
      <c r="H76" s="47" t="inlineStr">
        <is>
          <t>Catena di comando già verificata in A1 (90% entro 17–28 h, Fucino non cambia la latenza); 16,7 contatti/giorno per satellite. Il collo di bottiglia è il passaggio sul bersaglio, non il caricamento del comando</t>
        </is>
      </c>
      <c r="I76" s="47" t="inlineStr">
        <is>
          <t>Centro di controllo, software di bordo (piano a tempo), sicurezza dei comandi, D-016</t>
        </is>
      </c>
      <c r="J76" s="47" t="inlineStr">
        <is>
          <t>DR-47, MR-02</t>
        </is>
      </c>
      <c r="K76" s="47" t="inlineStr">
        <is>
          <t>R-08</t>
        </is>
      </c>
      <c r="L76" s="47" t="inlineStr">
        <is>
          <t>Approvata</t>
        </is>
      </c>
      <c r="M76" s="47" t="n"/>
      <c r="N76" s="47" t="inlineStr">
        <is>
          <t>A5.5.6 – chat del 30/10/2026; PULSE A5.5 (spinta_passaggi.py)</t>
        </is>
      </c>
      <c r="O76" s="47" t="inlineStr">
        <is>
          <t>Riguarda solo TT&amp;C e operazioni (parte di Giuliano) 30/10/2026: ID rinumerato (era D-072) per un conflitto di numerazione tra le due copie del registro. | 30/10/2026 (D-081, G2): F3 anticipata in Fase A solo per gli allarmi diurni (Fucino nello stesso passaggio, quando la finestra lo permette); per la notte resta Svalbard.</t>
        </is>
      </c>
    </row>
    <row r="77">
      <c r="A77" s="47" t="inlineStr">
        <is>
          <t>D-076</t>
        </is>
      </c>
      <c r="B77" s="48" t="n">
        <v>46325</v>
      </c>
      <c r="C77" s="47" t="inlineStr">
        <is>
          <t>A5</t>
        </is>
      </c>
      <c r="D77" s="47" t="inlineStr">
        <is>
          <t>Giuseppe</t>
        </is>
      </c>
      <c r="E77" s="47" t="inlineStr">
        <is>
          <t>Payload</t>
        </is>
      </c>
      <c r="F77" s="47" t="inlineStr">
        <is>
          <t>Telescopio TMA in asse a tre specchi (tipo Korsch: primario concavo con foro centrale, secondario al centro, specchio piatto di rinvio, terziario), apertura 12 cm, focale 0,70 m (A2 invariati). Ingombro stimato ~14 × 14 × 20 cm più paraluce (per confronto con Simera TriScape100/200), massa da stimare in A5.P4</t>
        </is>
      </c>
      <c r="G77" s="47" t="inlineStr">
        <is>
          <t>TMA fuori asse 12 cm (scalando l'imager EarthNext, 8U per 8,3 cm / f 500 mm, servirebbero ~12–14U su 16); TMA fuori asse ~8 cm (entra in 8U ma diffrazione ~2,4 m e metà luce: A2 e A3 da rifare)</t>
        </is>
      </c>
      <c r="H77" s="47" t="inlineStr">
        <is>
          <t>Unica soluzione che tiene l'apertura da 12 cm (quindi GSD di A2 e SNR di A3) dentro il 16U e lascia spazio sulla faccia a nadir</t>
        </is>
      </c>
      <c r="I77" s="47" t="inlineStr">
        <is>
          <t>Volume e layout (A5.7, Giuliano); campo per i sensori affiancati (D-027); SNR notturno (ombra del secondario ~9%, D-077)</t>
        </is>
      </c>
      <c r="J77" s="47" t="inlineStr">
        <is>
          <t>V-02</t>
        </is>
      </c>
      <c r="K77" s="47" t="inlineStr">
        <is>
          <t>R-01, R-39, R-42</t>
        </is>
      </c>
      <c r="L77" s="47" t="inlineStr">
        <is>
          <t>Superata</t>
        </is>
      </c>
      <c r="M77" s="47" t="inlineStr">
        <is>
          <t>D-088</t>
        </is>
      </c>
      <c r="N77" s="47" t="inlineStr">
        <is>
          <t>Chat del 30/10/2026 (A5.P2)</t>
        </is>
      </c>
      <c r="O77" s="47" t="inlineStr">
        <is>
          <t>Proposta: cambia la motivazione di D-027 ("campo normale per un TMA fuori asse") e il volume per il layout di Giuliano. Fase 0 diceva solo "TMA, 12 cm, 0,7 m": resta valida. Campo pieno 1,84° × 3,45° (diag. 3,9°) in asse da verificare con un progettista ottico (TBC) | 30/10/2026 Giuliano: approvata. Lato GNC: lunghezza ~30 cm con paraluce entro i 454 mm (L1, D-043); massa e inerzie da verificare in A5.7. | 30/10/2026 (A5.P4): Superata da D-088. Il Korsch in asse non regge il campo di 3,9° (R-42 avverato).</t>
        </is>
      </c>
    </row>
    <row r="78">
      <c r="A78" s="47" t="inlineStr">
        <is>
          <t>D-077</t>
        </is>
      </c>
      <c r="B78" s="48" t="n">
        <v>46325</v>
      </c>
      <c r="C78" s="47" t="inlineStr">
        <is>
          <t>A5</t>
        </is>
      </c>
      <c r="D78" s="47" t="inlineStr">
        <is>
          <t>Giuseppe</t>
        </is>
      </c>
      <c r="E78" s="47" t="inlineStr">
        <is>
          <t>Payload</t>
        </is>
      </c>
      <c r="F78" s="47" t="inlineStr">
        <is>
          <t>Ripresa notturna con il TMA in asse (D-076, ombra del secondario ~9,5%): città/quartieri 1×1 (4,8 m) con 12 scatti da 20 ms (240 ms, SNR 10,4); paesi 3×3 (14,4 m) con 10 scatti (200 ms, SNR 11,3) come modalità nominale; 2×2 (9,6 m, 18 scatti per SNR 10) non più nominale. Pixel 11 µm invariato</t>
        </is>
      </c>
      <c r="G78" s="47" t="inlineStr">
        <is>
          <t>Più scatti con 2×2 per i paesi (18 scatti = 360 ms, inseguimento con margine ~0,43 s &gt; DR-11); lasciare tutto com'era accettando SNR 9,3–9,5 (DR-09 a ≥ 9)</t>
        </is>
      </c>
      <c r="H78" s="47" t="inlineStr">
        <is>
          <t>Mantiene SNR ≥ 10 senza allungare l'inseguimento oltre DR-11 (max 240 ms + 20% = 0,29 s); 14,4 m bastano per le celle da 150 m della conferma blackout (D-064, ~10 pixel per cella). Il dettaglio via per via del 2×2 (motivo di D-031) non è usato dalla catena A4</t>
        </is>
      </c>
      <c r="I78" s="47" t="inlineStr">
        <is>
          <t>DR-09; durata FMC (diminuisce: nessun impatto su Giuliano); volume dati (scena paesi 0,7 MB invece di 1,6)</t>
        </is>
      </c>
      <c r="J78" s="47" t="inlineStr">
        <is>
          <t>DR-09, DR-11</t>
        </is>
      </c>
      <c r="K78" s="47" t="inlineStr">
        <is>
          <t>R-02</t>
        </is>
      </c>
      <c r="L78" s="47" t="inlineStr">
        <is>
          <t>Superata</t>
        </is>
      </c>
      <c r="M78" s="47" t="inlineStr">
        <is>
          <t>D-089</t>
        </is>
      </c>
      <c r="N78" s="47" t="inlineStr">
        <is>
          <t>Chat del 30/10/2026 (A5.P2)</t>
        </is>
      </c>
      <c r="O78" s="47" t="inlineStr">
        <is>
          <t>Sostituisce D-031. Calcolo in a5_calcoli/p2_ostruzione_snr.py (modello A3, trasmissione relativa 0,905 TBC fino al progetto ottico). Anche il diurno perde ~9,5% di luce: SNR TDI tipico ~73 → ~69, inverno scuro ~29 → ~28 (stima) | 30/10/2026 (A5.P4): Superata da D-089 (ombra 20% del telescopio RC: città 14 scatti).</t>
        </is>
      </c>
    </row>
    <row r="79">
      <c r="A79" s="47" t="inlineStr">
        <is>
          <t>D-078</t>
        </is>
      </c>
      <c r="B79" s="48" t="n">
        <v>46325</v>
      </c>
      <c r="C79" s="47" t="inlineStr">
        <is>
          <t>A5</t>
        </is>
      </c>
      <c r="D79" s="47" t="inlineStr">
        <is>
          <t>Giuseppe</t>
        </is>
      </c>
      <c r="E79" s="47" t="inlineStr">
        <is>
          <t>Struttura</t>
        </is>
      </c>
      <c r="F79" s="47" t="inlineStr">
        <is>
          <t>Posizione del telescopio sulla faccia a nadir (226 × 226 mm): ingombro ~140 × 140 mm (con struttura) spostato contro un lato; resta libera una striscia di ~66 × 206 mm sul lato opposto per l'antenna TT&amp;C a nadir (D-068) ed eventuali altri sensori</t>
        </is>
      </c>
      <c r="G79" s="47" t="inlineStr">
        <is>
          <t>Al centro (cornice utile ~33 mm, antenna a fatica); in un angolo (due strisce a L da ~66 mm, baricentro spostato ~4–5 mm in diagonale)</t>
        </is>
      </c>
      <c r="H79" s="47" t="inlineStr">
        <is>
          <t>Spazio comodo per l'antenna con spostamento del baricentro piccolo (~3–4 mm per 2–2,5 kg di telescopio su ~30 kg), compensabile nel layout (batterie o altre masse sul lato opposto)</t>
        </is>
      </c>
      <c r="I79" s="47" t="inlineStr">
        <is>
          <t>Layout e baricentro (A5.7, Giuliano: D-047, DR-14, DR-21); antenna a nadir (D-068)</t>
        </is>
      </c>
      <c r="J79" s="47" t="inlineStr">
        <is>
          <t>DR-14, DR-21</t>
        </is>
      </c>
      <c r="K79" s="47" t="inlineStr">
        <is>
          <t>R-39</t>
        </is>
      </c>
      <c r="L79" s="47" t="inlineStr">
        <is>
          <t>Approvata</t>
        </is>
      </c>
      <c r="M79" s="47" t="n"/>
      <c r="N79" s="47" t="inlineStr">
        <is>
          <t>Chat del 30/10/2026 (A5.P2)</t>
        </is>
      </c>
      <c r="O79" s="47" t="inlineStr">
        <is>
          <t>Proposta: tocca layout e bilanciamento di Giuliano. Bordo strutturale ~10 mm per lato (TBC). Antenna lontana dal piano focale e dai cavi dei sensori (EMC da verificare in Fase B) | 30/10/2026 Giuliano: approvata. Con antenna TT&amp;C a nadir compatta (D-080, K1): le patch S commerciali trovate non entrano nei 66 mm (ISIS Ø 80 mm, CUBECOM 110 × 85 mm, AAC formato 1U). Spostamento del baricentro 3–4 mm sui 10 mm di D-047: da chiudere in A5.7 con la zavorra.</t>
        </is>
      </c>
    </row>
    <row r="80">
      <c r="A80" s="47" t="inlineStr">
        <is>
          <t>D-079</t>
        </is>
      </c>
      <c r="B80" s="48" t="n">
        <v>46325</v>
      </c>
      <c r="C80" s="47" t="inlineStr">
        <is>
          <t>A5</t>
        </is>
      </c>
      <c r="D80" s="47" t="inlineStr">
        <is>
          <t>Giuseppe</t>
        </is>
      </c>
      <c r="E80" s="47" t="inlineStr">
        <is>
          <t>Payload</t>
        </is>
      </c>
      <c r="F80" s="47" t="inlineStr">
        <is>
          <t>Paraluce di ~10 cm davanti all'apertura (~13 cm): il Sole non illumina direttamente gli specchi se sta a più di ~52° dall'asse ottico. Coperchio dell'apertura richiudibile (motorizzato): chiuso in safe, in spinta e fino al commissioning, aperto per le riprese e su comando di emergenza (D-034, D-074)</t>
        </is>
      </c>
      <c r="G80" s="47" t="inlineStr">
        <is>
          <t>Paraluce 5 cm (esclusione ~69°: d'inverno a 45° fuori nadir il Sole a ~65° entrerebbe); paraluce 15 cm (~41°, 5 cm di lunghezza in meno per il resto del satellite)</t>
        </is>
      </c>
      <c r="H80" s="47" t="inlineStr">
        <is>
          <t>Copre il caso peggiore in ripresa (inverno, zenit solare ~70°, 45° fuori nadir verso il Sole: Sole a ~65° dall'asse) con ~13° di margine; telescopio + paraluce ~30 cm su 45,4</t>
        </is>
      </c>
      <c r="I80" s="47" t="inlineStr">
        <is>
          <t>Valore di DR-37 (modi ADCS di Giuliano con coperchio aperto); lunghezza disponibile per il layout (A5.7); massa del coperchio (A5.P4)</t>
        </is>
      </c>
      <c r="J80" s="47" t="inlineStr">
        <is>
          <t>DR-37</t>
        </is>
      </c>
      <c r="K80" s="47" t="inlineStr">
        <is>
          <t>R-23, R-43</t>
        </is>
      </c>
      <c r="L80" s="47" t="inlineStr">
        <is>
          <t>Approvata</t>
        </is>
      </c>
      <c r="M80" s="47" t="n"/>
      <c r="N80" s="47" t="inlineStr">
        <is>
          <t>Chat del 30/10/2026 (A5.P2)</t>
        </is>
      </c>
      <c r="O80" s="47" t="inlineStr">
        <is>
          <t>Proposta: fissa il valore di DR-37, che vincola i modi d'assetto di Giuliano con il coperchio aperto. Esclusione calcolata come arctan(13 cm / 10 cm), stima di primo ordine; luce diffusa dal bordo della Terra da verificare in Fase B | 30/10/2026 Giuliano: approvata. Nessun conflitto con i modi GNC: coperchio chiuso in safe, spinta e detumbling; di notte Sole dietro la Terra; caso diurno peggiore ~65°; puntamento della stazione non usato (niente banda X). Vincolo per A5.6: con coperchio bloccato aperto (R-43) in safe il telescopio deve restare a ≥ 52° dal Sole: pannelli con normale perpendicolare all'asse ottico (≥ 90° − 15° = 75°).</t>
        </is>
      </c>
    </row>
    <row r="81">
      <c r="A81" s="47" t="inlineStr">
        <is>
          <t>D-080</t>
        </is>
      </c>
      <c r="B81" s="48" t="n">
        <v>46325</v>
      </c>
      <c r="C81" s="47" t="inlineStr">
        <is>
          <t>A5</t>
        </is>
      </c>
      <c r="D81" s="47" t="inlineStr">
        <is>
          <t>Giuliano</t>
        </is>
      </c>
      <c r="E81" s="47" t="inlineStr">
        <is>
          <t>TT&amp;C / Terra</t>
        </is>
      </c>
      <c r="F81" s="47" t="inlineStr">
        <is>
          <t>Antenna TT&amp;C a nadir (K1): patch S compatta su ceramica ad alta costante dielettrica, lato ≤ 60 mm, nella striscia libera di ~66 × 206 mm (D-078). Riserva K3: antenna sullo spigolo o su una faccia laterale inclinata verso nadir. Per massa e potenza resta il riferimento ISIS (&lt; 50 g, passiva)</t>
        </is>
      </c>
      <c r="G81" s="47" t="inlineStr">
        <is>
          <t>K2: telescopio spostato di altri ~14 mm per la patch ISIS da 80 mm (meno spazio verso i binari, baricentro spostato oltre i 3–4 mm di D-078 sui 10 mm di D-047); K3 tenuta come riserva (copertura a nadir ridotta, analisi di copertura da rifare)</t>
        </is>
      </c>
      <c r="H81" s="47" t="inlineStr">
        <is>
          <t>Lascia invariato il layout di Giuseppe; una patch piccola ha fascio più largo (utile per la copertura di D-068) e guadagno più basso (TBC), coperto dal margine di 7,8 dB del link budget a 10° (D-069)</t>
        </is>
      </c>
      <c r="I81" s="47" t="inlineStr">
        <is>
          <t>Scelta del prodotto (Fase B), link budget da rifare con il diagramma reale, layout della faccia a nadir (A5.7)</t>
        </is>
      </c>
      <c r="J81" s="47" t="inlineStr">
        <is>
          <t>DR-40, DR-41</t>
        </is>
      </c>
      <c r="K81" s="47" t="inlineStr">
        <is>
          <t>R-39</t>
        </is>
      </c>
      <c r="L81" s="47" t="inlineStr">
        <is>
          <t>Approvata</t>
        </is>
      </c>
      <c r="M81" s="47" t="n"/>
      <c r="N81" s="47" t="inlineStr">
        <is>
          <t>Chat del 30/10/2026; datasheet ISIS S-band patch, AAC PULSAR-SANT, CUBECOM SANT</t>
        </is>
      </c>
      <c r="O81" s="47" t="inlineStr">
        <is>
          <t>Riguarda solo TT&amp;C: non cambia numeri né layout di Giuseppe. Prodotto commerciale ≤ 60 mm in banda 2,2–2,29 GHz da cercare in Fase B</t>
        </is>
      </c>
    </row>
    <row r="82">
      <c r="A82" s="47" t="inlineStr">
        <is>
          <t>D-081</t>
        </is>
      </c>
      <c r="B82" s="48" t="n">
        <v>46325</v>
      </c>
      <c r="C82" s="47" t="inlineStr">
        <is>
          <t>A5</t>
        </is>
      </c>
      <c r="D82" s="47" t="inlineStr">
        <is>
          <t>Giuseppe</t>
        </is>
      </c>
      <c r="E82" s="47" t="inlineStr">
        <is>
          <t>AI / Dati</t>
        </is>
      </c>
      <c r="F82" s="47" t="inlineStr">
        <is>
          <t>Architettura della scheda di bordo (A+): la somma dei passaggi (TDI digitale diurno, shift-and-add notturno) si fa in tempo reale su FPGA mentre il sensore riprende (ingresso ~7,5 Gbit/s di giorno, ~2,5 Gbit/s di notte; scena diurna sommata ~125 MB); l'AI lavora dopo la somma, tra un bersaglio e l'altro (~5–15 s per scena con un chip da ~1–2 TOPS utili, stima). Gli allarmi urgenti (vettori + ritagli: diurni ~0,7 MB, notturni ~0,26 MB) si scaricano a Fucino nello stesso passaggio sull'Italia; scene intere e archivio restano a Svalbard/Fairbanks secondo la coda di D-073</t>
        </is>
      </c>
      <c r="G82" s="47" t="inlineStr">
        <is>
          <t>A: AI dopo, tutto scaricato a Svalbard/Fairbanks (allarme diurno a terra ~1 h 15 min dopo la ripresa, stima); B: AI potente in tempo reale (chip tipo GPU 15–25 W, guadagna solo secondi); C: dati grezzi in memoria e poi elaborazione (~1,2 GB per scena, scrittura a ~7,5 Gbit/s, difficile su CubeSat)</t>
        </is>
      </c>
      <c r="H82" s="47" t="inlineStr">
        <is>
          <t>Il tempo dell'allarme si perde aspettando la stazione, non nella scheda. Fucino vede il satellite per ~5–6 min durante il passaggio sull'Italia; dopo l'ultima ripresa (Palermo) restano ~2 min: l'allarme diurno arriva a terra ~2 min dopo la ripresa invece di ~1 h 15 min; di notte si risparmiano i 5–8 min di attesa di Svalbard</t>
        </is>
      </c>
      <c r="I82" s="47" t="inlineStr">
        <is>
          <t>Ruolo di Fucino (D-016: da riserva e comandi a anche ricezione allarmi; Giuliano), ricezione in banda S a Fucino (4,3 Mbit/s, D-069, TBC), coda di scarico (D-073, classe 2 anche a Fucino), DR-13, potenza della scheda (A5.P6), scelta del chip (A5.P3); antenna a nadir compatta (D-080 di Giuliano): verificare che il collegamento a Fucino regga 4,3 Mbit/s</t>
        </is>
      </c>
      <c r="J82" s="47" t="inlineStr">
        <is>
          <t>DR-13, DR-48</t>
        </is>
      </c>
      <c r="K82" s="47" t="inlineStr">
        <is>
          <t>R-44</t>
        </is>
      </c>
      <c r="L82" s="47" t="inlineStr">
        <is>
          <t>Approvata</t>
        </is>
      </c>
      <c r="M82" s="47" t="n"/>
      <c r="N82" s="47" t="inlineStr">
        <is>
          <t>Chat del 30/10/2026 (A5.P3); a5_calcoli/p3_scheda.py</t>
        </is>
      </c>
      <c r="O82" s="47" t="inlineStr">
        <is>
          <t>Proposta: cambia il ruolo di Fucino (D-016) e i contatti pianificati da Giuliano. Attesa fino a Svalbard dopo un passaggio diurno ~75 min stimata a mano (~300° di orbita), da confermare con GMAT; visibilità di Fucino a 5° di elevazione ~±1.440 km (stima di primo ordine) | 30/10/2026 Giuliano: approvata con modifica (G2): lo scarico a Fucino nello stesso passaggio vale solo per gli allarmi diurni e quando la finestra lo permette; gli allarmi notturni vanno a Svalbard (5–8 min dopo la ripresa). GMAT (5 bersagli, 4 satelliti, gen 2026): Fucino in vista dopo l'ultima ripresa di giorno 69–198 s a 30° (mediana 136) e 50–146 s a 45° (mediana 106), cioè ~20–36 MB in mediana dopo 60 s di AI e 10 s di aggancio; di notte 48–131 s a 30° (mediana 65) e 27–67 s a 45° (mediana 45): nessuno spazio utile (passaggio sud→nord, ultimo bersaglio lontano da Fucino). Se la finestra salta gli allarmi restano in classe 2 della coda (D-073) e partono a Svalbard (~77 min di giorno). Picco di potenza radio S (15 W) + scheda AI da vedere in A5.6</t>
        </is>
      </c>
    </row>
    <row r="83">
      <c r="A83" s="47" t="inlineStr">
        <is>
          <t>D-082</t>
        </is>
      </c>
      <c r="B83" s="48" t="n">
        <v>46325</v>
      </c>
      <c r="C83" s="47" t="inlineStr">
        <is>
          <t>A5</t>
        </is>
      </c>
      <c r="D83" s="47" t="inlineStr">
        <is>
          <t>Giuliano</t>
        </is>
      </c>
      <c r="E83" s="47" t="inlineStr">
        <is>
          <t>TT&amp;C / Terra</t>
        </is>
      </c>
      <c r="F83" s="47" t="inlineStr">
        <is>
          <t>Bande (B2): banda S per tutto (discesa 4,3 Mbit/s, D-069; salita ≥ 128 kbit/s con ricevitore o ricetrasmettitore S da scegliere in A5.5.7) + UHF di riserva a 400,15–401 MHz (9.600 bit/s, comandi e telemetria in safe e in caso di guasto della catena S). Nessuna banda X</t>
        </is>
      </c>
      <c r="G83" s="47" t="inlineStr">
        <is>
          <t>B1: solo banda S (un guasto della radio fa perdere il satellite); B3: due catene S ridondanti (doppia massa e potenza, stesso guasto comune su banda e antenna); B4: S + X + UHF (volume &lt; 10% della banda S, massa, potenza e licenza X inutili)</t>
        </is>
      </c>
      <c r="H83" s="47" t="inlineStr">
        <is>
          <t>Volume per satellite (Giuseppe): routine ~46 MB/giorno (2,3% della capacità S di ~2.030 MB/giorno), primi 3 mesi ~144 MB (7,1%), picco ~194 MB (9,6%), senza compressione ~610 MB (30%); calibrazione al commissioning 1,7 GB in &lt; 1 giorno di capacità libera; giorno peggiore ~1.970 MB. Salita: 300–750 MB/anno, pacchetto max ~50 MB = 52 min (~12 contatti, &lt; 1 giorno) a 128 kbit/s. UHF: seconda via indipendente, +75 g, 4 W solo in trasmissione (classe ISIS), margine 4,8 dB a 9.600 bit/s</t>
        </is>
      </c>
      <c r="I83" s="47" t="inlineStr">
        <is>
          <t>Massa, potenza e volume TT&amp;C (A5.5.7, A5.6, A5.7), licenze S e UHF, rete di terra (UHF nelle stazioni, TBC), DR-28 (inseguimento della stazione non più necessario)</t>
        </is>
      </c>
      <c r="J83" s="47" t="inlineStr">
        <is>
          <t>DR-49, DR-41, DR-28, DR-47</t>
        </is>
      </c>
      <c r="K83" s="47" t="inlineStr">
        <is>
          <t>R-40, R-45</t>
        </is>
      </c>
      <c r="L83" s="47" t="inlineStr">
        <is>
          <t>Approvata</t>
        </is>
      </c>
      <c r="M83" s="47" t="n"/>
      <c r="N83" s="47" t="inlineStr">
        <is>
          <t>A5.5 – chat del 30/10/2026; numeri payload di Giuseppe (A5.P1); PULSE A5.5 (link_budget.py, scene_diurne.py)</t>
        </is>
      </c>
      <c r="O83" s="47" t="inlineStr">
        <is>
          <t>Riguarda solo TT&amp;C: chiude A5.5.1 e A5.5.2 sui numeri di Giuseppe (D-070, D-071, D-072). 435–438 MHz è banda amatoriale: non usabile | 30/10/2026 (A5.5.7): la radio di riserva di riferimento (classe ISIS) riceve in VHF a 148–150,05 MHz (operazioni spaziali, salita) e trasmette in UHF a 400,15–402 MHz: è una coppia VHF/UHF. Antenna dispiegabile classe ISIS AntS (89 g, 98 × 98 mm) con elementi VHF e UHF. Catena S: D-084. | 30/10/2026 (A5.5.7): la radio di riserva di riferimento (classe ISIS) riceve in VHF 148–150,05 MHz (salita, operazioni spaziali) e trasmette in UHF 400,15–402 MHz: coppia VHF/UHF. Antenna dispiegabile ISIS AntS (89 g) con elementi VHF e UHF.</t>
        </is>
      </c>
    </row>
    <row r="84">
      <c r="A84" s="47" t="inlineStr">
        <is>
          <t>D-083</t>
        </is>
      </c>
      <c r="B84" s="48" t="n">
        <v>46325</v>
      </c>
      <c r="C84" s="47" t="inlineStr">
        <is>
          <t>A5</t>
        </is>
      </c>
      <c r="D84" s="47" t="inlineStr">
        <is>
          <t>Giuliano</t>
        </is>
      </c>
      <c r="E84" s="47" t="inlineStr">
        <is>
          <t>TT&amp;C / Terra</t>
        </is>
      </c>
      <c r="F84" s="47" t="inlineStr">
        <is>
          <t>Scarico dell'archivio notturno (opzione a): le scene d'archivio si scaricano nello stesso contatto con Svalbard dopo la ripresa notturna, subito dopo le zone candidate; la coda con invecchiamento (D-073) resta come riserva. Scene d'archivio per notte limitate dalla geometria del passaggio, non dallo scarico: ~2–4 per satellite (media ~2,7, stima)</t>
        </is>
      </c>
      <c r="G84" s="47" t="inlineStr">
        <is>
          <t>b: archivio in coda entro 24 h (D-067; archivio a terra più tardi, memoria occupata più a lungo)</t>
        </is>
      </c>
      <c r="H84" s="47" t="inlineStr">
        <is>
          <t>Contatto con Svalbard dopo la ripresa notturna 213–263 s = 98–125 MB a 4,3 Mbit/s (30 s di aggancio); prodotti notturni nel caso peggiore ~37 MB (zone candidate 25 MB + 4 scene × 3,1 MB + telemetria): posto per 2,6 volte il caso peggiore. Copertura d'archivio di tutta l'Italia (~3.100 scene) in ~290 notti utili con 4 satelliti (~11 scene/notte); città e zone a rischio molto prima</t>
        </is>
      </c>
      <c r="I84" s="47" t="inlineStr">
        <is>
          <t>Archivio a terra (R-37), memoria di bordo, pianificazione notturna (A6)</t>
        </is>
      </c>
      <c r="J84" s="47" t="inlineStr">
        <is>
          <t>DR-36, DR-35, DR-45</t>
        </is>
      </c>
      <c r="K84" s="47" t="inlineStr">
        <is>
          <t>R-37</t>
        </is>
      </c>
      <c r="L84" s="47" t="inlineStr">
        <is>
          <t>Approvata</t>
        </is>
      </c>
      <c r="M84" s="47" t="n"/>
      <c r="N84" s="47" t="inlineStr">
        <is>
          <t>A5.5 – chat del 30/10/2026; numeri payload di Giuseppe (A5.P1); PULSE A5.5 (link_budget.py, scene_diurne.py)</t>
        </is>
      </c>
      <c r="O84" s="47" t="inlineStr">
        <is>
          <t>Riguarda solo lo scarico (Giuliano). Sostituisce D-067. Frazione di notti utili (nuvole, luna) da stimare in A6</t>
        </is>
      </c>
    </row>
    <row r="85">
      <c r="A85" s="47" t="inlineStr">
        <is>
          <t>D-084</t>
        </is>
      </c>
      <c r="B85" s="48" t="n">
        <v>46325</v>
      </c>
      <c r="C85" s="47" t="inlineStr">
        <is>
          <t>A5</t>
        </is>
      </c>
      <c r="D85" s="47" t="inlineStr">
        <is>
          <t>Giuliano</t>
        </is>
      </c>
      <c r="E85" s="47" t="inlineStr">
        <is>
          <t>TT&amp;C / Terra</t>
        </is>
      </c>
      <c r="F85" s="47" t="inlineStr">
        <is>
          <t>Catena S (R2): ricetrasmettitore software unico, classe IQ spacecom XLink-S (200 g, &lt; 15 W con TX e RX accesi, &lt; 4 W solo RX; salita 56–896 kbit/s, discesa fino a 200 Mbit/s, usata a 4,3 Mbit/s come D-069). Ricevitore S acceso solo nelle finestre di contatto previste (~2,5 h/giorno, ~10 Wh/giorno); la radio VHF/UHF (classe ISIS, 0,48 W) ascolta sempre per le emergenze fuori dai contatti. Ripiego a catalogo: R1 (ISIS TXS2 + ricevitore ISIS)</t>
        </is>
      </c>
      <c r="G85" s="47" t="inlineStr">
        <is>
          <t>R1: ISIS TXS2 + ricevitore ISIS (217 g, salita solo 9,6 kbit/s: pacchetto da 50 MB in 11,6 h, ~165 contatti; 750 MB/anno = 40% del tempo di contatto; non rispetta D-082); R3: TXS2 + secondo ricetrasmettitore S usato in ricezione (~380 g, due box, 125 kbit/s)</t>
        </is>
      </c>
      <c r="H85" s="47" t="inlineStr">
        <is>
          <t>Unica opzione che rispetta la salita ≥ 128 kbit/s di D-082 con un solo box: pesi della rete (~50 MB) in ~8 min a 896 kbit/s. Il costo di 4 W in ricezione si evita accendendo il ricevitore S solo nei contatti, che sono prevedibili; l'ascolto continuo lo fa la radio VHF/UHF (~11,5 Wh/giorno)</t>
        </is>
      </c>
      <c r="I85" s="47" t="inlineStr">
        <is>
          <t>Massa e potenza TT&amp;C (budget A5.5.7, A5.6), software di bordo (accensione del ricevitore sui contatti previsti), FDIR</t>
        </is>
      </c>
      <c r="J85" s="47" t="inlineStr">
        <is>
          <t>DR-50, DR-49, DR-41</t>
        </is>
      </c>
      <c r="K85" s="47" t="inlineStr">
        <is>
          <t>R-46</t>
        </is>
      </c>
      <c r="L85" s="47" t="inlineStr">
        <is>
          <t>Approvata</t>
        </is>
      </c>
      <c r="M85" s="47" t="n"/>
      <c r="N85" s="47" t="inlineStr">
        <is>
          <t>A5.5.7 – chat del 30/10/2026; IQ spacecom XLink-S (satsearch), ISIS S-band transceiver, EnduroSat S-band transceiver</t>
        </is>
      </c>
      <c r="O85" s="47" t="inlineStr">
        <is>
          <t>Riguarda solo TT&amp;C. Il link budget di D-069 (TXS2, 31 dBm) resta valido: XLink-S fino a +33 dBm combinati. Eredità di volo non dichiarata sulla pagina del prodotto (TRL 9 dichiarato): R-46</t>
        </is>
      </c>
    </row>
    <row r="86">
      <c r="A86" s="47" t="inlineStr">
        <is>
          <t>D-085</t>
        </is>
      </c>
      <c r="B86" s="48" t="n">
        <v>46325</v>
      </c>
      <c r="C86" s="47" t="inlineStr">
        <is>
          <t>A5</t>
        </is>
      </c>
      <c r="D86" s="47" t="inlineStr">
        <is>
          <t>Giuseppe</t>
        </is>
      </c>
      <c r="E86" s="47" t="inlineStr">
        <is>
          <t>AI / Dati</t>
        </is>
      </c>
      <c r="F86" s="47" t="inlineStr">
        <is>
          <t>Scheda di bordo con due chip (opzione 2): FPGA per la somma in tempo reale (D-081) + chip AI dedicato a basso consumo (classe VPU, famiglia Intel Movidius come sui CubeSat ESA Φ-sat-1/Φ-sat-2; ~1–2 W quando lavora, ~5–15 s per scena, TBC). Se il chip AI si guasta, l'FPGA continua a sommare e le immagini si scaricano senza AI (modo degradato)</t>
        </is>
      </c>
      <c r="G86" s="47" t="inlineStr">
        <is>
          <t>1: un solo chip FPGA + processore (tipo Zynq UltraScale+): più semplice e leggero, ma rete AI più laboriosa da portare sull'FPGA e un guasto ferma sia somma sia AI; 3: FPGA + GPU (tipo Jetson Orin): ~1 s per scena ma +10–25 W e più sensibile alle radiazioni</t>
        </is>
      </c>
      <c r="H86" s="47" t="inlineStr">
        <is>
          <t>L'AI è il cuore della missione: chip dedicato, rete più facile da aggiornare da terra, modo degradato se l'AI si guasta, riferimento ESA Φ-sat. Prezzo piccolo (una schedina ~100–200 g, ~1–2 W solo durante l'elaborazione, un collegamento in più tra i chip). Tutte le opzioni stanno nei ~60 s di DR-48</t>
        </is>
      </c>
      <c r="I86" s="47" t="inlineStr">
        <is>
          <t>Massa (A5.P4), potenza della scheda (A5.P6, poi A5.6 di Giuliano), interfaccia FPGA–chip AI (Fase B), formato dei pesi della rete caricati da terra</t>
        </is>
      </c>
      <c r="J86" s="47" t="inlineStr">
        <is>
          <t>DR-13, DR-48, DR-51</t>
        </is>
      </c>
      <c r="K86" s="47" t="inlineStr">
        <is>
          <t>R-47, R-48</t>
        </is>
      </c>
      <c r="L86" s="47" t="inlineStr">
        <is>
          <t>Approvata</t>
        </is>
      </c>
      <c r="M86" s="47" t="n"/>
      <c r="N86" s="47" t="inlineStr">
        <is>
          <t>Chat del 30/10/2026 (A5.P3)</t>
        </is>
      </c>
      <c r="O86" s="47" t="inlineStr">
        <is>
          <t>Consumi e tempi sono valori tipici di primo ordine (rete di segmentazione ~50–150 GOP per Mpx, scena 83,6 Mpx), da confermare con le schede vere</t>
        </is>
      </c>
    </row>
    <row r="87" s="26">
      <c r="A87" s="47" t="inlineStr">
        <is>
          <t>D-086</t>
        </is>
      </c>
      <c r="B87" s="48" t="n">
        <v>46325</v>
      </c>
      <c r="C87" s="47" t="inlineStr">
        <is>
          <t>A5</t>
        </is>
      </c>
      <c r="D87" s="47" t="inlineStr">
        <is>
          <t>Giuseppe</t>
        </is>
      </c>
      <c r="E87" s="47" t="inlineStr">
        <is>
          <t>AI / Dati</t>
        </is>
      </c>
      <c r="F87" s="47" t="inlineStr">
        <is>
          <t>Memoria della scheda: memoria veloce (RAM) ≥ ~2 GB (TBC) per 4 scene sommate e lavoro dell'AI; memoria di massa (flash) 32 GB; contenuti fissi critici (mappe VIIRS e albedo, OSM, DEM, pesi della rete) in due copie in zone separate, con gestione dei blocchi rovinati</t>
        </is>
      </c>
      <c r="G87" s="47" t="inlineStr">
        <is>
          <t>16 GB (basta, ~60 giorni di emergenza senza scarico, ma poco margine per usura e scene grezze); 64 GB (~300 giorni, ~48 scene grezze: spazio che quasi non useremmo)</t>
        </is>
      </c>
      <c r="H87" s="47" t="inlineStr">
        <is>
          <t>Bisogno ~5 GB (~10 GB con margine ×2, A5.P1). 32 GB ≈ 3 volte: ~900 scene diurne compresse in coda, ~140 giorni del caso di emergenza senza scaricare, ~22 scene grezze (1,24 GB l'una) da salvare per riaddestrare l'AI; margine per l'usura e i danni da radiazione della flash. Massa e potenza praticamente uguali tra le tre taglie</t>
        </is>
      </c>
      <c r="I87" s="47" t="inlineStr">
        <is>
          <t>Massa e potenza della scheda (trascurabili, A5.P4/A5.P6); software di bordo (gestione memoria e copie); nessun impatto sullo scarico (D-083)</t>
        </is>
      </c>
      <c r="J87" s="47" t="inlineStr">
        <is>
          <t>DR-52</t>
        </is>
      </c>
      <c r="K87" s="47" t="inlineStr">
        <is>
          <t>R-48</t>
        </is>
      </c>
      <c r="L87" s="47" t="inlineStr">
        <is>
          <t>Approvata</t>
        </is>
      </c>
      <c r="M87" s="47" t="n"/>
      <c r="N87" s="47" t="inlineStr">
        <is>
          <t>Chat del 30/10/2026 (A5.P3); a5_calcoli/p3_scheda.py</t>
        </is>
      </c>
      <c r="O87" s="47" t="inlineStr">
        <is>
          <t>Conti con contenuti fissi 2,3 GB e calibrazione 1,7 GB (caso alto di A5.P1), scena compressa 31 MB, giorno di emergenza 194 MB</t>
        </is>
      </c>
    </row>
    <row r="88" s="26">
      <c r="A88" s="47" t="inlineStr">
        <is>
          <t>D-087</t>
        </is>
      </c>
      <c r="B88" s="48" t="n">
        <v>46325</v>
      </c>
      <c r="C88" s="47" t="inlineStr">
        <is>
          <t>A5</t>
        </is>
      </c>
      <c r="D88" s="47" t="inlineStr">
        <is>
          <t>Giuliano</t>
        </is>
      </c>
      <c r="E88" s="47" t="inlineStr">
        <is>
          <t>Potenza</t>
        </is>
      </c>
      <c r="F88" s="47" t="inlineStr">
        <is>
          <t>Responsabile dell'EPS di piattaforma (A3, chiude D-038 per la sola voce EPS): pannelli solari, batterie e distribuzione (PCDU) a Giuliano. Restano a Giuseppe i consumi del payload e della scheda (P-11…P-16) e il termico del payload (P-23). Il bilancio di potenza complessivo resta in comune (D-028)</t>
        </is>
      </c>
      <c r="G88" s="47" t="inlineStr">
        <is>
          <t>A1: EPS e termico completi a Giuseppe (per affinità con la Guida); A2: EPS in comune</t>
        </is>
      </c>
      <c r="H88" s="47" t="inlineStr">
        <is>
          <t>Le scelte che dimensionano l'EPS (spinta in eclissi, configurazione e orientamento dei pannelli, roll bias, safe con pannelli perpendicolari all'asse ottico, effetto dei pannelli sul drag e sul ΔV) dipendono da orbita, assetto e propulsione, cioè dal lavoro di Giuliano; Giuseppe è impegnato sui sotto-passi payload di A5</t>
        </is>
      </c>
      <c r="I88" s="47" t="inlineStr">
        <is>
          <t>D-028 (divisione del lavoro), D-038, file dei budget (responsabile di P-18, P-19, P-20), sotto-passi A5.6</t>
        </is>
      </c>
      <c r="J88" s="47" t="n"/>
      <c r="K88" s="47" t="inlineStr">
        <is>
          <t>R-07</t>
        </is>
      </c>
      <c r="L88" s="47" t="inlineStr">
        <is>
          <t>Approvata</t>
        </is>
      </c>
      <c r="M88" s="47" t="n"/>
      <c r="N88" s="47" t="inlineStr">
        <is>
          <t>Chat del 30/10/2026 (A5.6.1)</t>
        </is>
      </c>
      <c r="O88" s="47" t="inlineStr">
        <is>
          <t>Proposta: cambia l'assegnazione di D-028 per Giuseppe (EPS non più suo). Restano aperti in D-038: struttura e meccanismi, computer di bordo, cablaggi, termico di piattaforma | 30/10/2026 Giuseppe: approvata.</t>
        </is>
      </c>
    </row>
    <row r="89" s="26">
      <c r="A89" s="47" t="inlineStr">
        <is>
          <t>D-088</t>
        </is>
      </c>
      <c r="B89" s="48" t="n">
        <v>46325</v>
      </c>
      <c r="C89" s="47" t="inlineStr">
        <is>
          <t>A5</t>
        </is>
      </c>
      <c r="D89" s="47" t="inlineStr">
        <is>
          <t>Giuseppe</t>
        </is>
      </c>
      <c r="E89" s="47" t="inlineStr">
        <is>
          <t>Payload</t>
        </is>
      </c>
      <c r="F89" s="47" t="inlineStr">
        <is>
          <t>Telescopio Ritchey-Chrétien (2 specchi iperbolici: primario 12 cm con foro centrale, secondario ~54 mm) + correttore di campo a 3 lenti in silice fusa davanti ai sensori; focale 0,70 m, F/5,8 (A2 invariati). Versione "nitida": focale del primario 200 mm, immagine 70 mm dietro il primario. Ottica ~25 cm, ~40 cm con sensori e paraluce di 10 cm (D-079); ingombro ~14 × 14 × 40 cm. Campo pieno 3,9° con i due sensori affiancati (D-027) verificato con tracciamento dei raggi</t>
        </is>
      </c>
      <c r="G89" s="47" t="inlineStr">
        <is>
          <t>Korsch in asse (D-076): con 3,9° il fascio verso il terziario e quello di ritorno si sovrappongono sullo specchio di rinvio (anche spostando il campo di lato le immagini peggiorano di 5–50 volte); RC versione corta (primario 180 mm: −3–4 cm, ma errore d'onda di riferimento 31 nm invece di 18, deformazione 0,64% invece di 0,34%, decentramento di 50 µm → 44 nm invece di 26); TMA fuori asse 12 cm (~2,7 volte il volume a f 700 mm, non entra); campo ridotto (rinuncia ai sensori affiancati)</t>
        </is>
      </c>
      <c r="H89" s="47" t="inlineStr">
        <is>
          <t>Unico schema calcolato che regge tutto il campo dentro il 16U: errore d'onda medio 22 nm, massimo 53 nm agli angoli (Strehl 0,94 / 0,69 a 550 nm, obiettivo λ/14 = 39 nm); MTF ottica a Nyquist pan 0,26 centro / 0,24 bordo / 0,21 angolo, di sistema (× rivelatore 0,64) 0,17 / 0,15 / 0,13; notte 0,59–0,53; deformazione 0,34% (24 px all'angolo, si calibra). Tollerante al montaggio (decentramento del secondario di 50 µm → 26 nm). Ombra centrale 20% (secondario 54 mm, foro 49 mm) invece di 9,5%. Schema a 2 specchi molto usato in volo</t>
        </is>
      </c>
      <c r="I89" s="47" t="inlineStr">
        <is>
          <t>Volume e layout (A5.7, Giuliano: V-02 da ~6 L a ~7,8 L, lunghezza da ~30 a ~40 cm su 45,4; resta ~5 cm in fondo); massa (~1,5 kg, ~1,8 kg con paraluce e coperchio, A5.P4) e baricentro (D-078, DR-14); SNR notturno (D-089); MTF di sistema (DR-53, A2 diceva 0,28 senza ombra); fuoco (DR-03)</t>
        </is>
      </c>
      <c r="J89" s="47" t="inlineStr">
        <is>
          <t>DR-03, DR-53, DR-09, DR-11, V-02</t>
        </is>
      </c>
      <c r="K89" s="47" t="inlineStr">
        <is>
          <t>R-42, R-49, R-50</t>
        </is>
      </c>
      <c r="L89" s="47" t="inlineStr">
        <is>
          <t>Approvata</t>
        </is>
      </c>
      <c r="M89" s="47" t="n"/>
      <c r="N89" s="47" t="inlineStr">
        <is>
          <t>Chat del 30/10/2026 (A5.P4); documento "PULSE A5.P4 – Scelta del telescopio"</t>
        </is>
      </c>
      <c r="O89" s="47" t="inlineStr">
        <is>
          <t>Proposta: sostituisce D-076 e cambia lunghezza e volume del telescopio per il layout di Giuliano. Calcoli in a5_calcoli/p4_ottica/ (rc.py, progetto_rc.py, geometria_rc.py, analisi_rc.py, rc_200_70_3.json); disegno telescopio_rc_sezione.png. Progetto di Fase A con tracciatore proprio: da rifare con programma professionale in Fase B (lenti asferiche per gli angoli) | 30/10/2026 (A5.P4): massa calcolata pezzo per pezzo (a5_calcoli/p4_massa_baricentro.py): telescopio con piastra dei sensori 1,60 kg, paraluce + coperchio 0,30 kg (budget M-11, M-14). | 30/10/2026 Giuliano: approvata (B), con punti da verificare nel layout (A5.7): star tracker parallelo al telescopio e patch a zenit di fianco al telescopio, non nei ~5 cm in fondo; baricentro X/Y con il telescopio spostato su un lato (D-078) entro DR-14 e D-047; inerzie entro l'inviluppo di D-043 con telescopio 1,6 kg + paraluce e coperchio 0,3 kg. DR-11 invariato (0,34 s ≤ 0,36 s)</t>
        </is>
      </c>
    </row>
    <row r="90" s="26">
      <c r="A90" s="47" t="inlineStr">
        <is>
          <t>D-089</t>
        </is>
      </c>
      <c r="B90" s="48" t="n">
        <v>46325</v>
      </c>
      <c r="C90" s="47" t="inlineStr">
        <is>
          <t>A5</t>
        </is>
      </c>
      <c r="D90" s="47" t="inlineStr">
        <is>
          <t>Giuseppe</t>
        </is>
      </c>
      <c r="E90" s="47" t="inlineStr">
        <is>
          <t>Payload</t>
        </is>
      </c>
      <c r="F90" s="47" t="inlineStr">
        <is>
          <t>Ripresa notturna con il telescopio RC (D-088, trasmissione relativa ~0,79 con ombra 20% + bracci ~1%): città/quartieri 1×1 (4,8 m) con 14 scatti da 20 ms (280 ms, SNR 10,3); paesi 3×3 (14,4 m) con 10 scatti (200 ms, SNR 10,2), invariato. Pixel 11 µm invariato</t>
        </is>
      </c>
      <c r="G90" s="47" t="inlineStr">
        <is>
          <t>Restare a 12 scatti in città accettando SNR 9,6; 13 scatti (SNR 9,96, senza margine)</t>
        </is>
      </c>
      <c r="H90" s="47" t="inlineStr">
        <is>
          <t>Mantiene SNR ≥ 10 (DR-09); l'inseguimento più lungo è 280 ms, +20% = 0,34 s, dentro gli 0,36 s di DR-11 già verificati da Giuliano. Di giorno il segnale scende del ~13% rispetto al Korsch (SNR ~ −6%, non visibile)</t>
        </is>
      </c>
      <c r="I90" s="47" t="inlineStr">
        <is>
          <t>DR-09, DR-11 (nessun cambio di valore); volume dati invariato</t>
        </is>
      </c>
      <c r="J90" s="47" t="inlineStr">
        <is>
          <t>DR-09, DR-11</t>
        </is>
      </c>
      <c r="K90" s="47" t="n"/>
      <c r="L90" s="47" t="inlineStr">
        <is>
          <t>Approvata</t>
        </is>
      </c>
      <c r="M90" s="47" t="n"/>
      <c r="N90" s="47" t="inlineStr">
        <is>
          <t>Chat del 30/10/2026 (A5.P4)</t>
        </is>
      </c>
      <c r="O90" s="47" t="inlineStr">
        <is>
          <t>Sostituisce D-077. Calcolo con il modello di p2_ostruzione_snr.py (A3) e τ = 1 − 0,448² − 0,01 = 0,789. Approvata perché non cambia i valori di Giuliano (DR-11 resta ≥ 0,36 s), ma segue D-088 (Proposta)</t>
        </is>
      </c>
    </row>
    <row r="91" s="26">
      <c r="A91" s="47" t="inlineStr">
        <is>
          <t>D-090</t>
        </is>
      </c>
      <c r="B91" s="48" t="n">
        <v>46325</v>
      </c>
      <c r="C91" s="47" t="inlineStr">
        <is>
          <t>A5</t>
        </is>
      </c>
      <c r="D91" s="47" t="inlineStr">
        <is>
          <t>Giuseppe</t>
        </is>
      </c>
      <c r="E91" s="47" t="inlineStr">
        <is>
          <t>Payload</t>
        </is>
      </c>
      <c r="F91" s="47" t="inlineStr">
        <is>
          <t>Materiali del telescopio: specchi in vetro alleggerito (~60%) a bassa dilatazione, struttura (tubo, paratie, ragno del secondario) in fibra di carbonio, attacchi flessibili in titanio/Invar</t>
        </is>
      </c>
      <c r="G91" s="47" t="inlineStr">
        <is>
          <t>Tutto alluminio (specchi e struttura nello stesso metallo: si dilata in modo uniforme, più facile da lavorare, ~1,34 kg contro ~1,29 kg per il Korsch, ma superfici meno lisce e più luce diffusa)</t>
        </is>
      </c>
      <c r="H91" s="47" t="inlineStr">
        <is>
          <t>Migliore qualità delle superfici (meno luce diffusa, utile di notte) e struttura che si dilata poco con la temperatura (fuoco più stabile, DR-03); massa praticamente uguale (stima dal basso, a5_calcoli/p4_telescopio_massa.py)</t>
        </is>
      </c>
      <c r="I91" s="47" t="inlineStr">
        <is>
          <t>Massa del telescopio (A5.P4); fuoco e termico del payload (A5.P7, DR-03); fornitori (Fase B)</t>
        </is>
      </c>
      <c r="J91" s="47" t="inlineStr">
        <is>
          <t>DR-03</t>
        </is>
      </c>
      <c r="K91" s="47" t="inlineStr">
        <is>
          <t>R-49</t>
        </is>
      </c>
      <c r="L91" s="47" t="inlineStr">
        <is>
          <t>Approvata</t>
        </is>
      </c>
      <c r="M91" s="47" t="n"/>
      <c r="N91" s="47" t="inlineStr">
        <is>
          <t>Chat del 30/10/2026 (A5.P4)</t>
        </is>
      </c>
      <c r="O91" s="47" t="inlineStr">
        <is>
          <t>Scelta di Giuseppe prima del cambio di schema; vale anche per il telescopio RC (D-088). Massa RC ~1,5 kg da confermare nel resto di A5.P4</t>
        </is>
      </c>
    </row>
    <row r="92" s="26">
      <c r="A92" s="47" t="inlineStr">
        <is>
          <t>D-091</t>
        </is>
      </c>
      <c r="B92" s="48" t="n">
        <v>46325</v>
      </c>
      <c r="C92" s="47" t="inlineStr">
        <is>
          <t>A5</t>
        </is>
      </c>
      <c r="D92" s="47" t="inlineStr">
        <is>
          <t>Giuseppe</t>
        </is>
      </c>
      <c r="E92" s="47" t="inlineStr">
        <is>
          <t>Struttura</t>
        </is>
      </c>
      <c r="F92" s="47" t="inlineStr">
        <is>
          <t>Posizione della scheda payload (FPGA + chip AI + memoria, opzione A): sulla struttura del satellite vicino al piano focale, sul lato opposto al telescopio (circa Y +60 mm, Z ~380 mm dalla faccia a nadir), con un radiatore proprio e senza contatto termico diretto con il telescopio; collegata ai sensori con cavi piatti flessibili di 10–15 cm. Ingombro ~100 × 100 × 60 mm (TBC)</t>
        </is>
      </c>
      <c r="G92" s="47" t="inlineStr">
        <is>
          <t>B: nella pila dell'elettronica con il computer di bordo (cavo di 20–40 cm a ~7,5 Gbit/s, più disturbi; bilanciamento tutto sul resto del layout); C: scheda divisa in due, piccola FPGA dietro i sensori per la somma (~2–3 W) e AI + memoria nella pila (tenuta come riserva se l'analisi termica A5.P7 trova problemi)</t>
        </is>
      </c>
      <c r="H92" s="47" t="inlineStr">
        <is>
          <t>Il flusso più veloce (~7,5 Gbit/s di giorno, D-081) resta su cavi corti; una sola scheda; fa da contrappeso al telescopio (spostamento del baricentro da ~3,8 a ~2,9 mm su 30 kg, DR-21 ≤ 10 mm). Il calore (~6 W per ~10 min a passaggio, ~1 Wh) va alla struttura e al radiatore, non al telescopio (fuoco DR-03, sensore notturno a ~0 °C)</t>
        </is>
      </c>
      <c r="I92" s="47" t="inlineStr">
        <is>
          <t>Layout (A5.7, Giuliano): spazio a L accanto al telescopio; baricentro (DR-14, DR-21); termico del payload (A5.P7); cablaggi</t>
        </is>
      </c>
      <c r="J92" s="47" t="inlineStr">
        <is>
          <t>DR-03, DR-14, DR-21</t>
        </is>
      </c>
      <c r="K92" s="47" t="inlineStr">
        <is>
          <t>R-51</t>
        </is>
      </c>
      <c r="L92" s="47" t="inlineStr">
        <is>
          <t>Proposta</t>
        </is>
      </c>
      <c r="M92" s="47" t="n"/>
      <c r="N92" s="47" t="inlineStr">
        <is>
          <t>Chat del 30/10/2026 (A5.P4)</t>
        </is>
      </c>
      <c r="O92" s="47" t="inlineStr">
        <is>
          <t>Proposta: occupa spazio nel layout di Giuliano. Calcolo del baricentro in a5_calcoli/p4_massa_baricentro.py</t>
        </is>
      </c>
    </row>
    <row r="93" s="26">
      <c r="A93" s="47" t="inlineStr">
        <is>
          <t>D-092</t>
        </is>
      </c>
      <c r="B93" s="48" t="n">
        <v>46325</v>
      </c>
      <c r="C93" s="47" t="inlineStr">
        <is>
          <t>A5</t>
        </is>
      </c>
      <c r="D93" s="47" t="inlineStr">
        <is>
          <t>Giuliano</t>
        </is>
      </c>
      <c r="E93" s="47" t="inlineStr">
        <is>
          <t>AI / Dati</t>
        </is>
      </c>
      <c r="F93" s="47" t="inlineStr">
        <is>
          <t>Coda di scarico dei dati del payload nella memoria della scheda payload (Q1, conferma D-086): la scheda resta in attesa (~2 W FPGA + memoria, ~0,2 W chip AI) solo mentre si scaricano dati del payload, cioè durante i contatti (~71 min/giorno per satellite, A5.5), ~2,4–2,6 Wh/giorno; spenta fuori da riprese, elaborazione e scarichi</t>
        </is>
      </c>
      <c r="G93" s="47" t="inlineStr">
        <is>
          <t>Q2: coda nel computer di bordo (scheda spenta dopo l'elaborazione)</t>
        </is>
      </c>
      <c r="H93" s="47" t="inlineStr">
        <is>
          <t>Q2 farebbe risparmiare ~2,5 Wh/giorno su un totale dominato da spinta e riscaldatori, ma chiederebbe all'OBC decine di GB, un collegamento veloce verso la radio e copie in più, con OBC non ancora scelto né assegnato (D-038). La memoria da 32 GB della scheda esiste già (D-086)</t>
        </is>
      </c>
      <c r="I93" s="47" t="inlineStr">
        <is>
          <t>Bilancio di potenza (P-15, colonna Scarico), OBC (P-17, resta semplice), software di bordo (gestione della coda sulla scheda, D-073)</t>
        </is>
      </c>
      <c r="J93" s="47" t="n"/>
      <c r="K93" s="47" t="inlineStr">
        <is>
          <t>R-07</t>
        </is>
      </c>
      <c r="L93" s="47" t="inlineStr">
        <is>
          <t>Approvata</t>
        </is>
      </c>
      <c r="M93" s="47" t="n"/>
      <c r="N93" s="47" t="inlineStr">
        <is>
          <t>Chat del 30/10/2026 (A5.6.1)</t>
        </is>
      </c>
      <c r="O93" s="47" t="inlineStr">
        <is>
          <t>Risponde alla domanda di Giuseppe (A5.P6 provvisorio). Il suo conto usava 2,5 h/giorno (finestra del ricevitore S, D-084): con i contatti reali di ~71 min l'energia di attesa scende da ~5 a ~2,5 Wh/giorno, da confermare da Giuseppe in A5.P6 | 30/10/2026 (D-097, Proposta): con la scheda di riferimento (classe Xiphos Q8) l'attesa in scarico è 3,5 W (AI spento), ~4,1 Wh/giorno con 71 min di contatti.</t>
        </is>
      </c>
    </row>
    <row r="94" s="26">
      <c r="A94" s="47" t="inlineStr">
        <is>
          <t>D-093</t>
        </is>
      </c>
      <c r="B94" s="48" t="n">
        <v>46325</v>
      </c>
      <c r="C94" s="47" t="inlineStr">
        <is>
          <t>A5</t>
        </is>
      </c>
      <c r="D94" s="47" t="inlineStr">
        <is>
          <t>Giuseppe</t>
        </is>
      </c>
      <c r="E94" s="47" t="inlineStr">
        <is>
          <t>Payload</t>
        </is>
      </c>
      <c r="F94" s="47" t="inlineStr">
        <is>
          <t>Sensore diurno di riferimento: classe Sony IMX342 (CMOS a otturatore globale, 3,45 µm, 6480 × 4870, fino a ~70 fps; usata la finestra 6463 × 4840 nel campo corretto): GSD 1,49 m, swath 9,6 km, ~7,5 Gbit/s a 20 fps, ~5 W (camera commerciale con lo stesso sensore 5,3 W). Seconda fonte: Gpixel GMAX3265 (3,2 µm). Filtri RGB-NIR a strisce applicati sopra il sensore (D-025)</t>
        </is>
      </c>
      <c r="G94" s="47" t="inlineStr">
        <is>
          <t>Gpixel GMAX3265 come principale (1,38 m, ma luce per pixel 86%, SNR diurno −7%, 8,7 Gbit/s, sensore 29,9 × 22,4 mm più grande del posto nel piano focale); Teledyne e2v Emerald 67M USV (già selezionato per lo spazio, ma pixel 2,5 µm: luce 53%, SNR −27%, 13 Gbit/s, dettaglio oltre quello che il telescopio da 12 cm risolve); ams CMV12000 (molto usato in volo, ma pixel 5,5 µm = 2,4 m, A2 da rifare)</t>
        </is>
      </c>
      <c r="H94" s="47" t="inlineStr">
        <is>
          <t>Unico candidato che riempie esattamente il campo corretto del telescopio (D-088) con la risoluzione di A2 e la luce di A3; nitidezza di sistema a Nyquist 0,17 (DR-53). Commerciale senza prove di radiazione pubblicate: rischio R-52, gestito con prove in Fase B e seconda fonte con pixel quasi uguale</t>
        </is>
      </c>
      <c r="I94" s="47" t="inlineStr">
        <is>
          <t>SNR diurno e TDI (A3), scheda (D-081, D-085), potenza P-12, massa M-12, piano focale (D-027)</t>
        </is>
      </c>
      <c r="J94" s="47" t="inlineStr">
        <is>
          <t>DR-53, DR-54</t>
        </is>
      </c>
      <c r="K94" s="47" t="inlineStr">
        <is>
          <t>R-52</t>
        </is>
      </c>
      <c r="L94" s="47" t="inlineStr">
        <is>
          <t>Approvata</t>
        </is>
      </c>
      <c r="M94" s="47" t="n"/>
      <c r="N94" s="47" t="inlineStr">
        <is>
          <t>Chat del 30/10/2026 (A5.P5)</t>
        </is>
      </c>
      <c r="O94" s="47" t="inlineStr">
        <is>
          <t>Calcolo in a5_calcoli/p5_sensori.py. Dati: schede gophotonics (IMX342, GMAX3265), Imperx CXP-C6440 (5,3 W), articolo Teledyne space-screened (giugno 2025), prova protoni CMV12000 (SPIE 11180)</t>
        </is>
      </c>
    </row>
    <row r="95" s="26">
      <c r="A95" s="47" t="inlineStr">
        <is>
          <t>D-094</t>
        </is>
      </c>
      <c r="B95" s="48" t="n">
        <v>46325</v>
      </c>
      <c r="C95" s="47" t="inlineStr">
        <is>
          <t>A5</t>
        </is>
      </c>
      <c r="D95" s="47" t="inlineStr">
        <is>
          <t>Giuseppe</t>
        </is>
      </c>
      <c r="E95" s="47" t="inlineStr">
        <is>
          <t>Payload</t>
        </is>
      </c>
      <c r="F95" s="47" t="inlineStr">
        <is>
          <t>Sensore notturno di riferimento confermato: Gpixel GSENSE400BSI (sCMOS BSI, 2048 × 2048, 11 µm, otturatore a scorrimento con FMC, &lt; 0,6 W, QE ~0,8 a 650 nm, buio 0,4 e-/s a −20 °C). Va tenuto intorno a 0 °C o meno durante le riprese notturne (buio ≤ ~3 e-/s come in A3)</t>
        </is>
      </c>
      <c r="G95" s="47" t="inlineStr">
        <is>
          <t>GSENSE4040BSI (9 µm: quartiere a 3,9 m con 29 scatti = 580 ms oltre DR-11, oppure 7,8 m raggruppando; pacchetto 53 mm, &lt; 1,4 W; versione FSI in volo su GRBBeta dal 2024); GSENSE2020BSI (6,5 µm: stessa resa solo raggruppando a 5,6 m, swath 5,7 km invece di 9,7; provato a protoni fino a 100 krad, non in volo)</t>
        </is>
      </c>
      <c r="H95" s="47" t="inlineStr">
        <is>
          <t>Pixel adatto alla luce notturna con il nostro telescopio: 14 scatti in città, 10 nei paesi (D-089). La stessa tecnologia dei due fratelli: le loro prove (GSENSE2020BSI funzionante dopo 100 krad di protoni, rumore ×2, buio ×60) valgono come indizio; prova propria in Fase B (R-52)</t>
        </is>
      </c>
      <c r="I95" s="47" t="inlineStr">
        <is>
          <t>SNR notturno (DR-09), termico del sensore (radiatore D-095, A5.P7), potenza P-13</t>
        </is>
      </c>
      <c r="J95" s="47" t="inlineStr">
        <is>
          <t>DR-09, DR-54, DR-55</t>
        </is>
      </c>
      <c r="K95" s="47" t="inlineStr">
        <is>
          <t>R-52</t>
        </is>
      </c>
      <c r="L95" s="47" t="inlineStr">
        <is>
          <t>Approvata</t>
        </is>
      </c>
      <c r="M95" s="47" t="n"/>
      <c r="N95" s="47" t="inlineStr">
        <is>
          <t>Chat del 30/10/2026 (A5.P5)</t>
        </is>
      </c>
      <c r="O95" s="47" t="inlineStr">
        <is>
          <t>Calcolo in a5_calcoli/p5_sensori_notte.py. Fonti: scheda gophotonics GSENSE400BSI e GSENSE4040BSI; articolo LUVCam (arXiv 2607.28831) per GRBBeta, QUVIK e prova protoni del GSENSE2020BSI. Conferma D-026 (A2/A3)</t>
        </is>
      </c>
    </row>
    <row r="96" s="26">
      <c r="A96" s="47" t="inlineStr">
        <is>
          <t>D-095</t>
        </is>
      </c>
      <c r="B96" s="48" t="n">
        <v>46325</v>
      </c>
      <c r="C96" s="47" t="inlineStr">
        <is>
          <t>A5</t>
        </is>
      </c>
      <c r="D96" s="47" t="inlineStr">
        <is>
          <t>Giuseppe</t>
        </is>
      </c>
      <c r="E96" s="47" t="inlineStr">
        <is>
          <t>Termico</t>
        </is>
      </c>
      <c r="F96" s="47" t="inlineStr">
        <is>
          <t>Radiatori del payload sulla faccia laterale 226 × 454 mm rivolta dalla parte opposta al Sole (normale all'orbita), verso il fondo del satellite: sensore notturno ~100 cm² a ~−10 °C, scheda payload ~90 cm² a ~30 °C, in tutto ~190 cm² (stima con margine ×1,5, TBC fino ad A5.P7); vernice bianca</t>
        </is>
      </c>
      <c r="G96" s="47" t="inlineStr">
        <is>
          <t>Faccia zenit (~145 cm², il sensore non vede la Terra ma di giorno prende il Sole; condivisa con antenna S a zenit e star tracker); divisi (sensore a zenit, scheda sul lato: due facce occupate)</t>
        </is>
      </c>
      <c r="H96" s="47" t="inlineStr">
        <is>
          <t>In orbita eliosincrona 10:30/22:30 la faccia dalla parte opposta al Sole non vede quasi mai il Sole diretto: è inutile per i pannelli solari, quindi non toglie spazio ad A5.6; vede la Terra al 31% (radiatore un po' più grande). La scheda accumula il picco di 6 W nella sua massa (+9 K a passaggio): il radiatore smaltisce la media</t>
        </is>
      </c>
      <c r="I96" s="47" t="inlineStr">
        <is>
          <t>Pannelli solari sul corpo e layout (A5.6, A5.7 Giuliano): il telescopio conviene da quel lato; assetti con rollio (riprese a 45°, roll bias) da verificare; termico del payload (A5.P7)</t>
        </is>
      </c>
      <c r="J96" s="47" t="inlineStr">
        <is>
          <t>DR-55</t>
        </is>
      </c>
      <c r="K96" s="47" t="inlineStr">
        <is>
          <t>R-51</t>
        </is>
      </c>
      <c r="L96" s="47" t="inlineStr">
        <is>
          <t>Proposta</t>
        </is>
      </c>
      <c r="M96" s="47" t="n"/>
      <c r="N96" s="47" t="inlineStr">
        <is>
          <t>Chat del 30/10/2026 (A5.P5, richiesta di Giuliano per A5.6)</t>
        </is>
      </c>
      <c r="O96" s="47" t="inlineStr">
        <is>
          <t>Proposta: occupa superficie sulle facce di Giuliano. Calcolo in a5_calcoli/p7_radiatori_stima.py (emissività 0,85, assorbimento 0,20, IR terrestre 237 W/m², perdite verso l'interno ~0,5 W)</t>
        </is>
      </c>
    </row>
    <row r="97" s="26">
      <c r="A97" s="47" t="inlineStr">
        <is>
          <t>D-096</t>
        </is>
      </c>
      <c r="B97" s="48" t="n">
        <v>46325</v>
      </c>
      <c r="C97" s="47" t="inlineStr">
        <is>
          <t>A5</t>
        </is>
      </c>
      <c r="D97" s="47" t="inlineStr">
        <is>
          <t>Giuseppe</t>
        </is>
      </c>
      <c r="E97" s="47" t="inlineStr">
        <is>
          <t>GNC</t>
        </is>
      </c>
      <c r="F97" s="47" t="inlineStr">
        <is>
          <t>Ripresa diurna con rallentamento della scena (slow-down, fattore 2): durante ogni scena il satellite ruota all'indietro in beccheggio a metà della velocità angolare della linea di vista (~0,70°/s a nadir; ~0,50°/s a 45° di traverso, ~0,35°/s a 45° lungo traccia), così il terreno scorre sul sensore a metà velocità. Scatto 0,2 ms invariato (mosso 0,5 pixel invece di 1), TDI digitale a 4 passaggi con ~10 immagini/s, scena ~2,6 s invece di ~1,3 s (rotazione ~1,8° a scena)</t>
        </is>
      </c>
      <c r="G97" s="47" t="inlineStr">
        <is>
          <t>A: lasciare 0,2 ms senza rallentamento (mosso 1 pixel: nitidezza lungo traccia 0,07 contro 0,10 di traverso); B: 0,1 ms con 8 passaggi a 40 immagini/s (stessa nitidezza e SNR di E, ma ~15 Gbit/s e il sensore a 12 bit forse non arriva a 40 immagini/s); C: 0,1 ms con 4 passaggi (nitidezza come E ma SNR diurno −30%: tipico ~46, inverno scuro ~18)</t>
        </is>
      </c>
      <c r="H97" s="47" t="inlineStr">
        <is>
          <t>Unica opzione che migliora la nitidezza lungo traccia (0,067 → 0,094 al centro, 0,055 → 0,078 all'angolo) senza perdere SNR (tipico ~65, inverno scuro ~26) e dimezzando i dati verso la scheda (~3,7 Gbit/s invece di 7,5). Manovra della stessa famiglia della FMC notturna (D-044), più lenta e più lunga</t>
        </is>
      </c>
      <c r="I97" s="47" t="inlineStr">
        <is>
          <t>ADCS (Giuliano): profilo di beccheggio in ripresa diurna, durata della finestra per scena e numero di scene per passaggio (D-072); DR-12 e DR-13 (frequenza e dati più bassi); riallineamento TDI (DR-26); yaw steering (DR-24)</t>
        </is>
      </c>
      <c r="J97" s="47" t="inlineStr">
        <is>
          <t>DR-12, DR-13, DR-24, DR-26, DR-53, DR-56</t>
        </is>
      </c>
      <c r="K97" s="47" t="inlineStr">
        <is>
          <t>R-53</t>
        </is>
      </c>
      <c r="L97" s="47" t="inlineStr">
        <is>
          <t>Proposta</t>
        </is>
      </c>
      <c r="M97" s="47" t="n"/>
      <c r="N97" s="47" t="inlineStr">
        <is>
          <t>Chat del 30/10/2026 (A5.P5)</t>
        </is>
      </c>
      <c r="O97" s="47" t="inlineStr">
        <is>
          <t>Proposta: aggiunge una manovra in ripresa diurna. Calcolo in a5_calcoli/p5_mtf_sistema.py. Ripiego se l'ADCS non la regge: opzione C</t>
        </is>
      </c>
    </row>
    <row r="98" s="26">
      <c r="A98" s="47" t="inlineStr">
        <is>
          <t>D-097</t>
        </is>
      </c>
      <c r="B98" s="48" t="n">
        <v>46325</v>
      </c>
      <c r="C98" s="47" t="inlineStr">
        <is>
          <t>A5</t>
        </is>
      </c>
      <c r="D98" s="47" t="inlineStr">
        <is>
          <t>Giuseppe</t>
        </is>
      </c>
      <c r="E98" s="47" t="inlineStr">
        <is>
          <t>Potenza</t>
        </is>
      </c>
      <c r="F98" s="47" t="inlineStr">
        <is>
          <t>Potenze del payload per modo (A5.P6), con prodotti di riferimento già in volo: scheda FPGA classe Xiphos Q8 (5 W tipici) e chip AI classe Ubotica CogniSAT-XE1 (2 W tipici). Ripresa diurna 12 W (sensore 5 + FPGA 5 + AI 2), ripresa notturna 9 W (2 + 5 + 2), scarico 3,5 W (solo FPGA, AI spento), spinta e riposo/safe 0 W (riscaldatori a parte, P-23, da A5.P7). Energia ~7 Wh/giorno in routine (1 passaggio diurno + 1 notturno), ~10 Wh in emergenza (2 + 2)</t>
        </is>
      </c>
      <c r="G98" s="47" t="inlineStr">
        <is>
          <t>Valori provvisori del 30/10 (FPGA ~6 W, scarico 2 W + AI 0,2 W): stime senza prodotto di riferimento</t>
        </is>
      </c>
      <c r="H98" s="47" t="inlineStr">
        <is>
          <t>Valori dalle schede di prodotti della classe scelta (D-085): Xiphos Q8 5 W tipici, minimo 3,5 W; CogniSAT-XE1 2 W tipici, 5 W massimi; camera con IMX342 5,3 W; GSENSE400BSI &lt; 0,6 W. Scheda in ripresa da 8 a 7 W; in scarico da 2,2 a 3,5 W (+~1,5 Wh/giorno, minimo dichiarato della classe; da ridurre in Fase B tenendo acceso solo il processore, TBC)</t>
        </is>
      </c>
      <c r="I98" s="47" t="inlineStr">
        <is>
          <t>Bilancio di potenza (P-12…P-16, Giuliano A5.6), D-092 (potenza di attesa in scarico), termico del payload (A5.P7)</t>
        </is>
      </c>
      <c r="J98" s="47" t="inlineStr">
        <is>
          <t>DR-13</t>
        </is>
      </c>
      <c r="K98" s="47" t="n"/>
      <c r="L98" s="47" t="inlineStr">
        <is>
          <t>Proposta</t>
        </is>
      </c>
      <c r="M98" s="47" t="n"/>
      <c r="N98" s="47" t="inlineStr">
        <is>
          <t>Chat del 30/10/2026 (A5.P6)</t>
        </is>
      </c>
      <c r="O98" s="47" t="inlineStr">
        <is>
          <t>Proposta: cambia i valori di P-15 che Giuliano ha nel bilancio. Calcolo in a5_calcoli/p6_potenza.py. Fonti: scheda Xiphos Q8 Rev C; brief Ubotica CogniSAT-XE1 v4.12; Imperx CXP-C6440; gophotonics GSENSE400BSI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 | 30/10/2026 (D-088): verificato con il telescopio RC: a ±37 µm l'errore d'onda medio sale da 18 a ~35 nm (sotto λ/14 = 39 nm); a ±50 µm 44 nm. Valore invariato.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14,4 m (binning 3×3).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(A3), D-077 (A5)</t>
        </is>
      </c>
      <c r="H25" s="47" t="inlineStr">
        <is>
          <t>Giuseppe</t>
        </is>
      </c>
      <c r="I25" s="47" t="inlineStr">
        <is>
          <t>Modello senza luce diffusa e parassita: riserva 3×3 | 30/10/2026 (D-077): con il TMA in asse (D-076) quartiere 12 scatti (SNR 10,4), paese 3×3 10 scatti (SNR 11,3). | 30/10/2026 (D-089): con il telescopio RC (ombra 20%) quartiere 14 scatti (SNR 10,3), paese 3×3 10 scatti (SNR 10,2).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 | 30/10/2026 (D-077): raccolta 240 ms città, 200 ms paesi (+20% = 0,29 s): il valore ≥ 0,36 s resta valido con più margine. | 30/10/2026 (D-089): raccolta 280 ms città, 200 ms paesi (+20% = 0,34 s): il valore ≥ 0,36 s resta valido.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 | 30/10/2026 (D-096, Proposta): con il rallentamento ×2 bastano ~10 immagini/s; ≥ ~20 resta come capacità per il ripiego senza rallentamento.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in tempo reale i passaggi diurni (TDI digitale) e gli scatti notturni mentre il sensore riprende; l'AI elabora dopo la somma, tra un bersaglio e l'altro</t>
        </is>
      </c>
      <c r="D29" s="47" t="inlineStr">
        <is>
          <t>Ingresso ~7,5 Gbit/s di giorno (628 Mpx/s), ~2,5 Gbit/s di notte (210 Mpx/s); uscita dopo la somma ~0,76 Gbit/s (pan + colori); memoria veloce per ≥ 4 scene sommate (~0,5 GB)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(A3), D-081 (A5.P3)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 | 30/10/2026 riscritto con D-081 (A5.P3): i ~470 Mbit/s di A3 erano il flusso dopo la somma del solo pancromatico; con i colori ~0,76 Gbit/s | 30/10/2026 (D-096, Proposta): con il rallentamento ×2 l'ingresso di giorno scende a ~3,7 Gbit/s.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 | 30/10/2026 (D-082): niente banda X, quindi l'inseguimento della stazione non serve; resta come capacità della guida, senza requisito di progetto.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~2–4 scene per satellite per notte (media ~2,7, stima), scaricate nello stesso contatto notturno (D-083)</t>
        </is>
      </c>
      <c r="E52" s="47" t="inlineStr">
        <is>
          <t>Analisi operativa</t>
        </is>
      </c>
      <c r="F52" s="47" t="inlineStr">
        <is>
          <t>TBC</t>
        </is>
      </c>
      <c r="G52" s="47" t="inlineStr">
        <is>
          <t>D-061, D-065 (A4), D-083 (A5)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 | 30/10/2026 (D-083): limite dato dalla geometria del passaggio, non dallo scarico (contatto notturno 98–125 MB contro ~37 MB nel caso peggiore).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Con coperchio aperto Sole ≥ 52° dall'asse ottico (paraluce ~10 cm); in ripresa diurna il caso peggiore è ~65° (TBC)</t>
        </is>
      </c>
      <c r="E53" s="47" t="inlineStr">
        <is>
          <t>Analisi (geometria dei modi), poi simulazione GNC</t>
        </is>
      </c>
      <c r="F53" s="47" t="inlineStr">
        <is>
          <t>TBC</t>
        </is>
      </c>
      <c r="G53" s="47" t="inlineStr">
        <is>
          <t>D-058, D-034 (A5), D-079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 | 30/10/2026 (D-079 approvata): con coperchio bloccato aperto (R-43) il safe deve tenere il telescopio ≥ 52° dal Sole: pannelli perpendicolari all'asse ottico (A5.6).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 | 30/10/2026 (D-080): patch a nadir compatta ≤ 60 mm nella striscia di D-078; guadagno TBC, coperto dal margine di D-069.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 | 30/10/2026 (D-082): uso previsto &lt; 10% della capacità anche nel caso peggiore.</t>
        </is>
      </c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  <row r="59">
      <c r="A59" s="47" t="inlineStr">
        <is>
          <t>DR-43</t>
        </is>
      </c>
      <c r="B59" s="47" t="inlineStr">
        <is>
          <t>Derivato</t>
        </is>
      </c>
      <c r="C59" s="47" t="inlineStr">
        <is>
          <t>La scheda di bordo deve comprimere le immagini prima dello scarico: senza perdita per ritagli d'allarme, scene notturne e calibrazione; quasi senza perdita per le scene diurne intere.</t>
        </is>
      </c>
      <c r="D59" s="47" t="inlineStr">
        <is>
          <t>~2:1 senza perdita; ~4:1 quasi senza perdita con errore ≤ 2 livelli su 4096 (TBC)</t>
        </is>
      </c>
      <c r="E59" s="47" t="inlineStr">
        <is>
          <t>Analisi, poi test su immagini simulate e reali</t>
        </is>
      </c>
      <c r="F59" s="47" t="inlineStr">
        <is>
          <t>TBC</t>
        </is>
      </c>
      <c r="G59" s="47" t="inlineStr">
        <is>
          <t>D-071 (A5)</t>
        </is>
      </c>
      <c r="H59" s="47" t="inlineStr">
        <is>
          <t>Giuseppe</t>
        </is>
      </c>
      <c r="I59" s="47" t="inlineStr">
        <is>
          <t>Carico di calcolo da includere in A5.P3 30/10/2026: ID rinumerato (era DR-40) per un conflitto di numerazione tra le due copie del registro.</t>
        </is>
      </c>
    </row>
    <row r="60">
      <c r="A60" s="47" t="inlineStr">
        <is>
          <t>DR-44</t>
        </is>
      </c>
      <c r="B60" s="47" t="inlineStr">
        <is>
          <t>Derivato</t>
        </is>
      </c>
      <c r="C60" s="47" t="inlineStr">
        <is>
          <t>Ogni satellite deve poter scaricare scene diurne intere per la verifica dell'AI, oltre ad allarmi e archivio notturno.</t>
        </is>
      </c>
      <c r="D60" s="47" t="inlineStr">
        <is>
          <t>4 scene/giorno (~124 MB) nei primi 3 mesi, poi 1 scena/giorno (~31 MB) (TBC)</t>
        </is>
      </c>
      <c r="E60" s="47" t="inlineStr">
        <is>
          <t>Analisi (link budget A5.5)</t>
        </is>
      </c>
      <c r="F60" s="47" t="inlineStr">
        <is>
          <t>TBC</t>
        </is>
      </c>
      <c r="G60" s="47" t="inlineStr">
        <is>
          <t>D-072 (A5)</t>
        </is>
      </c>
      <c r="H60" s="47" t="inlineStr">
        <is>
          <t>Entrambi</t>
        </is>
      </c>
      <c r="I60" s="47" t="inlineStr">
        <is>
          <t>30/10/2026: ID rinumerato (era DR-41) per un conflitto di numerazione tra le due copie del registro. | 30/10/2026 (D-072 approvata): "fino a 4" scene al giorno; media stimata 2,7.</t>
        </is>
      </c>
    </row>
    <row r="61">
      <c r="A61" s="47" t="inlineStr">
        <is>
          <t>DR-45</t>
        </is>
      </c>
      <c r="B61" s="47" t="inlineStr">
        <is>
          <t>Derivato</t>
        </is>
      </c>
      <c r="C61" s="47" t="inlineStr">
        <is>
          <t>La memoria di bordo deve gestire la coda di scarico per classi di priorità, con invecchiamento e ordine modificabile da terra.</t>
        </is>
      </c>
      <c r="D61" s="47" t="inlineStr">
        <is>
          <t>5 classi; un dato in coda &gt; 24 h sale di una classe</t>
        </is>
      </c>
      <c r="E61" s="47" t="inlineStr">
        <is>
          <t>Ispezione del software, test (Fase C)</t>
        </is>
      </c>
      <c r="F61" s="47" t="inlineStr">
        <is>
          <t>TBC</t>
        </is>
      </c>
      <c r="G61" s="47" t="inlineStr">
        <is>
          <t>D-073 (A5)</t>
        </is>
      </c>
      <c r="H61" s="47" t="inlineStr">
        <is>
          <t>Entrambi</t>
        </is>
      </c>
      <c r="I61" s="47" t="inlineStr">
        <is>
          <t>Allarmi sempre per primi 30/10/2026: ID rinumerato (era DR-42) per un conflitto di numerazione tra le due copie del registro.</t>
        </is>
      </c>
    </row>
    <row r="62">
      <c r="A62" s="47" t="inlineStr">
        <is>
          <t>DR-46</t>
        </is>
      </c>
      <c r="B62" s="47" t="inlineStr">
        <is>
          <t>Derivato</t>
        </is>
      </c>
      <c r="C62" s="47" t="inlineStr">
        <is>
          <t>Un comando di emergenza deve interrompere la spinta e portare il satellite in assetto di ripresa con il coperchio aperto in tempo per il passaggio.</t>
        </is>
      </c>
      <c r="D62" s="47" t="inlineStr">
        <is>
          <t>Spinta vietata da N min prima di una ripresa pianificata (N TBD dal termico)</t>
        </is>
      </c>
      <c r="E62" s="47" t="inlineStr">
        <is>
          <t>Analisi, poi simulazione operativa (Fase B)</t>
        </is>
      </c>
      <c r="F62" s="47" t="inlineStr">
        <is>
          <t>TBD</t>
        </is>
      </c>
      <c r="G62" s="47" t="inlineStr">
        <is>
          <t>D-074 (A5)</t>
        </is>
      </c>
      <c r="H62" s="47" t="inlineStr">
        <is>
          <t>Entrambi</t>
        </is>
      </c>
      <c r="I62" s="47" t="inlineStr">
        <is>
          <t>Spinta disponibile &gt; ~20 h/giorno anche con N = 90 min 30/10/2026: ID rinumerato (era DR-43) per un conflitto di numerazione tra le due copie del registro.</t>
        </is>
      </c>
    </row>
    <row r="63">
      <c r="A63" s="47" t="inlineStr">
        <is>
          <t>DR-47</t>
        </is>
      </c>
      <c r="B63" s="47" t="inlineStr">
        <is>
          <t>Derivato</t>
        </is>
      </c>
      <c r="C63" s="47" t="inlineStr">
        <is>
          <t>I comandi da terra devono essere autenticati e cifrati; il satellite esegue un piano a tempo per le 24 h successive, aggiornabile a ogni contatto.</t>
        </is>
      </c>
      <c r="D63" s="47" t="inlineStr">
        <is>
          <t>CCSDS SDLS (TBC); piano ≥ 24 h</t>
        </is>
      </c>
      <c r="E63" s="47" t="inlineStr">
        <is>
          <t>Ispezione, test (Fase C)</t>
        </is>
      </c>
      <c r="F63" s="47" t="inlineStr">
        <is>
          <t>TBC</t>
        </is>
      </c>
      <c r="G63" s="47" t="inlineStr">
        <is>
          <t>D-075 (A5)</t>
        </is>
      </c>
      <c r="H63" s="47" t="inlineStr">
        <is>
          <t>Giuliano</t>
        </is>
      </c>
      <c r="I63" s="47" t="inlineStr">
        <is>
          <t>Fucino riserva e comandi nei passaggi senza ripresa 30/10/2026: ID rinumerato (era DR-44) per un conflitto di numerazione tra le due copie del registro.</t>
        </is>
      </c>
    </row>
    <row r="64">
      <c r="A64" s="47" t="inlineStr">
        <is>
          <t>DR-48</t>
        </is>
      </c>
      <c r="B64" s="47" t="inlineStr">
        <is>
          <t>Derivato</t>
        </is>
      </c>
      <c r="C64" s="47" t="inlineStr">
        <is>
          <t>Gli allarmi diurni urgenti devono essere pronti per lo scarico verso Fucino entro la fine del contatto nello stesso passaggio sull'Italia, quando la finestra lo permette (obiettivo, non garanzia); gli allarmi notturni si scaricano al contatto con Svalbard successivo.</t>
        </is>
      </c>
      <c r="D64" s="47" t="inlineStr">
        <is>
          <t>Allarmi diurni pronti ≤ ~60 s dopo l'ultima ripresa (TBC); finestra Fucino residua di giorno 50–198 s (mediana 106–136 s, GMAT); notte: Svalbard entro 5–8 min</t>
        </is>
      </c>
      <c r="E64" s="47" t="inlineStr">
        <is>
          <t>Analisi (GMAT finestra Fucino), poi test sulla scheda (Fase B/C)</t>
        </is>
      </c>
      <c r="F64" s="47" t="inlineStr">
        <is>
          <t>TBC</t>
        </is>
      </c>
      <c r="G64" s="47" t="inlineStr">
        <is>
          <t>D-081 (A5.P3)</t>
        </is>
      </c>
      <c r="H64" s="47" t="inlineStr">
        <is>
          <t>Entrambi</t>
        </is>
      </c>
      <c r="I64" s="47" t="inlineStr">
        <is>
          <t>Giuseppe: tempo dell'AI; Giuliano: finestra di contatto con Fucino e ricezione in banda S | 30/10/2026 riscritto con D-081 approvata in G2 (Giuliano): di notte la finestra Fucino residua è 27–131 s (mediana 45–65 s), insufficiente dopo 60 s di AI.</t>
        </is>
      </c>
    </row>
    <row r="65">
      <c r="A65" s="47" t="inlineStr">
        <is>
          <t>DR-49</t>
        </is>
      </c>
      <c r="B65" s="47" t="inlineStr">
        <is>
          <t>Derivato</t>
        </is>
      </c>
      <c r="C65" s="47" t="inlineStr">
        <is>
          <t>Il satellite deve avere una seconda via di comando e telemetria, indipendente dalla catena S (radio e banda diverse), utilizzabile in safe e in qualunque assetto.</t>
        </is>
      </c>
      <c r="D65" s="47" t="inlineStr">
        <is>
          <t>UHF 400,15–401 MHz, 9.600 bit/s, margine ≥ 3 dB a 10° (calcolato 4,8 dB con G/T stimata)</t>
        </is>
      </c>
      <c r="E65" s="47" t="inlineStr">
        <is>
          <t>Analisi (link budget), poi prova di compatibilità con la stazione (Fase C)</t>
        </is>
      </c>
      <c r="F65" s="47" t="inlineStr">
        <is>
          <t>TBC</t>
        </is>
      </c>
      <c r="G65" s="47" t="inlineStr">
        <is>
          <t>D-082 (A5)</t>
        </is>
      </c>
      <c r="H65" s="47" t="inlineStr">
        <is>
          <t>Giuliano</t>
        </is>
      </c>
      <c r="I65" s="47" t="inlineStr">
        <is>
          <t>G/T delle stazioni UHF stimata (yagi 14 dBic, 1.000 K): da verificare con le stazioni reali | Salita in VHF 148–150,05 MHz, discesa UHF 400,15–401 MHz (D-082, nota A5.5.7).</t>
        </is>
      </c>
    </row>
    <row r="66">
      <c r="A66" s="47" t="inlineStr">
        <is>
          <t>DR-50</t>
        </is>
      </c>
      <c r="B66" s="47" t="inlineStr">
        <is>
          <t>Derivato</t>
        </is>
      </c>
      <c r="C66" s="47" t="inlineStr">
        <is>
          <t>Il satellite deve poter ricevere comandi in ogni momento: ricevitore S acceso nelle finestre di contatto previste, ricevitore VHF sempre acceso.</t>
        </is>
      </c>
      <c r="D66" s="47" t="inlineStr">
        <is>
          <t>Finestre S: contatti previsti con margine (~2,5 h/giorno, TBC); VHF continuo</t>
        </is>
      </c>
      <c r="E66" s="47" t="inlineStr">
        <is>
          <t>Analisi (profilo di potenza A5.6), poi test operativo (Fase C)</t>
        </is>
      </c>
      <c r="F66" s="47" t="inlineStr">
        <is>
          <t>TBC</t>
        </is>
      </c>
      <c r="G66" s="47" t="inlineStr">
        <is>
          <t>D-084 (A5)</t>
        </is>
      </c>
      <c r="H66" s="47" t="inlineStr">
        <is>
          <t>Giuliano</t>
        </is>
      </c>
      <c r="I66" s="47" t="inlineStr">
        <is>
          <t>Il ricevitore VHF copre le emergenze fuori dai contatti S previsti</t>
        </is>
      </c>
    </row>
    <row r="67">
      <c r="A67" s="47" t="inlineStr">
        <is>
          <t>DR-51</t>
        </is>
      </c>
      <c r="B67" s="47" t="inlineStr">
        <is>
          <t>Derivato</t>
        </is>
      </c>
      <c r="C67" s="47" t="inlineStr">
        <is>
          <t>Se il chip AI non funziona, la scheda deve continuare a sommare i passaggi e a mettere in coda le immagini per lo scarico (modo degradato senza AI)</t>
        </is>
      </c>
      <c r="D67" s="47" t="inlineStr">
        <is>
          <t>Somma e scarico disponibili con chip AI spento o guasto</t>
        </is>
      </c>
      <c r="E67" s="47" t="inlineStr">
        <is>
          <t>Analisi, poi test di guasto sulla scheda (Fase C)</t>
        </is>
      </c>
      <c r="F67" s="47" t="inlineStr">
        <is>
          <t>TBC</t>
        </is>
      </c>
      <c r="G67" s="47" t="inlineStr">
        <is>
          <t>D-085 (A5.P3)</t>
        </is>
      </c>
      <c r="H67" s="47" t="inlineStr">
        <is>
          <t>Giuseppe</t>
        </is>
      </c>
      <c r="I67" s="47" t="n"/>
    </row>
    <row r="68" s="26">
      <c r="A68" s="47" t="inlineStr">
        <is>
          <t>DR-52</t>
        </is>
      </c>
      <c r="B68" s="47" t="inlineStr">
        <is>
          <t>Derivato</t>
        </is>
      </c>
      <c r="C68" s="47" t="inlineStr">
        <is>
          <t>La scheda deve avere una memoria veloce per l'elaborazione e una memoria di massa non volatile per contenuti fissi, coda di scarico e calibrazione; i contenuti fissi critici devono stare in due copie</t>
        </is>
      </c>
      <c r="D68" s="47" t="inlineStr">
        <is>
          <t>RAM ≥ ~2 GB (TBC); flash 32 GB (bisogno ~5 GB, ~10 GB con margine); 2 copie di mappe, DEM e pesi della rete</t>
        </is>
      </c>
      <c r="E68" s="47" t="inlineStr">
        <is>
          <t>Analisi, poi ispezione e test (Fase B/C)</t>
        </is>
      </c>
      <c r="F68" s="47" t="inlineStr">
        <is>
          <t>TBC</t>
        </is>
      </c>
      <c r="G68" s="47" t="inlineStr">
        <is>
          <t>D-086 (A5.P3)</t>
        </is>
      </c>
      <c r="H68" s="47" t="inlineStr">
        <is>
          <t>Giuseppe</t>
        </is>
      </c>
      <c r="I68" s="47" t="n"/>
    </row>
    <row r="69" s="26">
      <c r="A69" s="47" t="inlineStr">
        <is>
          <t>DR-53</t>
        </is>
      </c>
      <c r="B69" s="47" t="inlineStr">
        <is>
          <t>Derivato</t>
        </is>
      </c>
      <c r="C69" s="47" t="inlineStr">
        <is>
          <t>La nitidezza di sistema del canale pancromatico (ottica × rivelatore, senza mosso) alla frequenza di Nyquist deve restare sopra una soglia su tutto il campo del sensore diurno.</t>
        </is>
      </c>
      <c r="D69" s="47" t="inlineStr">
        <is>
          <t>MTF di sistema a Nyquist pan (145 cicli/mm) ≥ 0,12 (TBC); calcolato 0,17 centro / 0,15 bordo / 0,13 angolo</t>
        </is>
      </c>
      <c r="E69" s="47" t="inlineStr">
        <is>
          <t>Analisi ottica (Fase A/B), poi misura in laboratorio (Fase C)</t>
        </is>
      </c>
      <c r="F69" s="47" t="inlineStr">
        <is>
          <t>TBC</t>
        </is>
      </c>
      <c r="G69" s="47" t="inlineStr">
        <is>
          <t>D-088 (A5.P4)</t>
        </is>
      </c>
      <c r="H69" s="47" t="inlineStr">
        <is>
          <t>Giuseppe</t>
        </is>
      </c>
      <c r="I69" s="47" t="inlineStr">
        <is>
          <t>Sostituisce il valore ~0,28 di A2 (calcolato senza ombra centrale). Il mosso e l'assetto (Giuliano) si aggiungono in A5.P5. Soglia da confermare con l'AI (rilevamento danni a 1,5 m) | 30/10/2026 (A5.P5, p5_mtf_sistema.py): con costruzione, fuoco, diffusione, jitter, riallineamento TDI e mosso: di traverso 0,10 / 0,10 / 0,08 (centro, bordo, angolo); lungo traccia 0,067 / 0,062 / 0,055 senza rallentamento, 0,094 / 0,087 / 0,078 con D-096. Notte ~0,27. La soglia di DR-53 resta senza mosso.</t>
        </is>
      </c>
    </row>
    <row r="70" s="26">
      <c r="A70" s="47" t="inlineStr">
        <is>
          <t>DR-54</t>
        </is>
      </c>
      <c r="B70" s="47" t="inlineStr">
        <is>
          <t>Derivato</t>
        </is>
      </c>
      <c r="C70" s="47" t="inlineStr">
        <is>
          <t>I sensori diurno e notturno (commerciali) devono essere provati alla radiazione prima del volo e protetti dal blocco da particella singola (latch-up).</t>
        </is>
      </c>
      <c r="D70" s="47" t="inlineStr">
        <is>
          <t>Dose totale ≥ 2 volte la dose di missione (dose di 2 anni a 302 km da calcolare in Fase B, stima pochi krad); prova a protoni e ioni pesanti; limitatore di corrente con spegnimento e riavvio automatico</t>
        </is>
      </c>
      <c r="E70" s="47" t="inlineStr">
        <is>
          <t>Prova (Fase B), analisi di dose (Fase B)</t>
        </is>
      </c>
      <c r="F70" s="47" t="inlineStr">
        <is>
          <t>TBC</t>
        </is>
      </c>
      <c r="G70" s="47" t="inlineStr">
        <is>
          <t>D-093, D-094 (A5.P5)</t>
        </is>
      </c>
      <c r="H70" s="47" t="inlineStr">
        <is>
          <t>Giuseppe</t>
        </is>
      </c>
      <c r="I70" s="47" t="inlineStr">
        <is>
          <t>Prove pubblicate solo su sensori parenti (GSENSE2020BSI 100 krad protoni; Sony IMX219 250 krad gamma)</t>
        </is>
      </c>
    </row>
    <row r="71" s="26">
      <c r="A71" s="47" t="inlineStr">
        <is>
          <t>DR-55</t>
        </is>
      </c>
      <c r="B71" s="47" t="inlineStr">
        <is>
          <t>Derivato</t>
        </is>
      </c>
      <c r="C71" s="47" t="inlineStr">
        <is>
          <t>Durante le riprese notturne il sensore notturno deve stare abbastanza freddo da tenere la corrente di buio entro il valore di A3.</t>
        </is>
      </c>
      <c r="D71" s="47" t="inlineStr">
        <is>
          <t>Temperatura del sensore ≤ ~0 °C (TBC) durante le riprese notturne; buio ≤ 3 e-/s/pixel</t>
        </is>
      </c>
      <c r="E71" s="47" t="inlineStr">
        <is>
          <t>Analisi termica (A5.P7), poi prova in termo-vuoto (Fase C)</t>
        </is>
      </c>
      <c r="F71" s="47" t="inlineStr">
        <is>
          <t>TBC</t>
        </is>
      </c>
      <c r="G71" s="47" t="inlineStr">
        <is>
          <t>D-094, D-095 (A5.P5)</t>
        </is>
      </c>
      <c r="H71" s="47" t="inlineStr">
        <is>
          <t>Giuseppe</t>
        </is>
      </c>
      <c r="I71" s="47" t="inlineStr">
        <is>
          <t>0,4 e-/s a −20 °C (costruttore), raddoppio ogni ~6,5 °C (regola tipica, TBC): 3 e-/s a ~0 °C, ~28 e-/s a +20 °C. Dopo la radiazione il buio cresce (R-52)</t>
        </is>
      </c>
    </row>
    <row r="72" s="26">
      <c r="A72" s="47" t="inlineStr">
        <is>
          <t>DR-56</t>
        </is>
      </c>
      <c r="B72" s="47" t="inlineStr">
        <is>
          <t>Derivato</t>
        </is>
      </c>
      <c r="C72" s="47" t="inlineStr">
        <is>
          <t>Durante ogni scena diurna l'assetto deve eseguire un beccheggio all'indietro a velocità costante pari a circa metà della velocità angolare della linea di vista (slow-down), insieme allo yaw steering.</t>
        </is>
      </c>
      <c r="D72" s="47" t="inlineStr">
        <is>
          <t>~0,70°/s a nadir (0,50°/s a 45° di traverso, 0,35°/s a 45° lungo traccia), per ~2,6 s a scena; velocità nota con l'errore di DR-18 e stabile tra i passaggi TDI (residuo dopo riallineamento ≤ 1/3 pixel, DR-26) (TBC)</t>
        </is>
      </c>
      <c r="E72" s="47" t="inlineStr">
        <is>
          <t>Simulazione GNC (A5.7 / Fase B)</t>
        </is>
      </c>
      <c r="F72" s="47" t="inlineStr">
        <is>
          <t>TBC</t>
        </is>
      </c>
      <c r="G72" s="47" t="inlineStr">
        <is>
          <t>D-096 (A5.P5)</t>
        </is>
      </c>
      <c r="H72" s="47" t="inlineStr">
        <is>
          <t>Entrambi</t>
        </is>
      </c>
      <c r="I72" s="47" t="inlineStr">
        <is>
          <t>Valori: metà delle velocità della FMC notturna di A3 (1,4 / 1,0 / 0,7°/s). Giuliano: profilo e fattibilità; Giuseppe: rapporto di rallentamento e frequenza delle immagini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 | 30/10/2026 (A5.P2): un TMA fuori asse da 12 cm scalato da EarthNext occuperebbe ~12–14U: scelto TMA in asse (D-076, ~14 × 14 × 20 cm, ~4U).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n"/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 30/10/2026 (D-074): con divieto da 60–90 min prima delle riprese restano &gt; ~20 h/giorno per la spinta; il vincolo vero è la potenza in eclissi (A5.6).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inlineStr">
        <is>
          <t>30/10/2026 (D-088): con l'ombra del telescopio RC l'MTF di sistema a Nyquist è 0,13–0,17 (DR-53): aliasing ancora più basso, immagine più morbida.</t>
        </is>
      </c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 | 30/10/2026 (D-088): il telescopio RC tollera ±37 µm (errore d'onda medio ~35 nm); oltre serve il fuoco regolabile (R-49).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 30/10/2026 (D-073): invecchiamento nella coda di scarico, l'archivio non resta fermo oltre 24 h. | 30/10/2026 (D-083): archivio scaricato nello stesso contatto notturno; ~11 scene/notte con 4 satelliti, tutta Italia in ~290 notti utili.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In mitigazione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 | 30/10/2026 (D-078): telescopio spostato su un lato, striscia libera ~66 × 206 mm per l'antenna a nadir. | 30/10/2026 (D-080): antenna compatta ≤ 60 mm su ceramica; riserva antenna su spigolo o faccia laterale inclinata (K3).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 | 30/10/2026 (D-082): anche a 1 Mbit/s (~0,5 GB/giorno) il picco di 194 MB/giorno resta scaricabile: impatto del rischio ridotto.</t>
        </is>
      </c>
    </row>
    <row r="42">
      <c r="A42" s="47" t="inlineStr">
        <is>
          <t>R-41</t>
        </is>
      </c>
      <c r="B42" s="47" t="inlineStr">
        <is>
          <t>Compressione meno efficace del previsto su scene molto dettagliate (città, boschi)</t>
        </is>
      </c>
      <c r="C42" s="47" t="inlineStr">
        <is>
          <t>Meno scene scaricate per contatto; coda più lunga</t>
        </is>
      </c>
      <c r="D42" s="47" t="inlineStr">
        <is>
          <t>Media</t>
        </is>
      </c>
      <c r="E42" s="47" t="inlineStr">
        <is>
          <t>Bassa</t>
        </is>
      </c>
      <c r="F42" s="50">
        <f>IF(OR(D42="",E42=""),"",MATCH(D42,{"Bassa","Media","Alta"},0)*MATCH(E42,{"Bassa","Media","Alta"},0))</f>
        <v/>
      </c>
      <c r="G42" s="47" t="inlineStr">
        <is>
          <t>Coda con priorità (allarmi prima), binning 3×3 di notte, prova del compressore su immagini reali o simulate</t>
        </is>
      </c>
      <c r="H42" s="47" t="inlineStr">
        <is>
          <t>Fase B</t>
        </is>
      </c>
      <c r="I42" s="47" t="n"/>
      <c r="J42" s="47" t="inlineStr">
        <is>
          <t>Giuseppe</t>
        </is>
      </c>
      <c r="K42" s="47" t="inlineStr">
        <is>
          <t>Aperto</t>
        </is>
      </c>
      <c r="L42" s="47" t="inlineStr">
        <is>
          <t>A5</t>
        </is>
      </c>
      <c r="M42" s="47" t="inlineStr">
        <is>
          <t>Nato con D-071 (29/10/2026) 30/10/2026: ID rinumerato (era R-39) per un conflitto di numerazione tra le due copie del registro. 30/10/2026 Giuseppe: impatto da Media a Bassa (anche con scene diurne compresse solo 2:1 il caso di emergenza è ~320 MB/giorno, ~16% della banda S; senza compressione ~610 MB); resta aperto fino alla prova del compressore (Fase B).</t>
        </is>
      </c>
    </row>
    <row r="43">
      <c r="A43" s="47" t="inlineStr">
        <is>
          <t>R-42</t>
        </is>
      </c>
      <c r="B43" s="47" t="inlineStr">
        <is>
          <t>Il TMA in asse (D-076) non riesce a dare un'immagine nitida su tutto il campo di 3,9° richiesto dai due sensori affiancati (D-027)</t>
        </is>
      </c>
      <c r="C43" s="47" t="inlineStr">
        <is>
          <t>Uno dei due sensori ai bordi del campo vede un'immagine sfocata</t>
        </is>
      </c>
      <c r="D43" s="47" t="inlineStr">
        <is>
          <t>Media</t>
        </is>
      </c>
      <c r="E43" s="47" t="inlineStr">
        <is>
          <t>Alta</t>
        </is>
      </c>
      <c r="F43" s="50">
        <f>IF(OR(D43="",E43=""),"",MATCH(D43,{"Bassa","Media","Alta"},0)*MATCH(E43,{"Bassa","Media","Alta"},0))</f>
        <v/>
      </c>
      <c r="G43" s="47" t="inlineStr">
        <is>
          <t>Verifica con progettista ottico in Fase B; riserve: sensori più vicini al centro, campo ridotto o sensore notturno più piccolo</t>
        </is>
      </c>
      <c r="H43" s="47" t="inlineStr">
        <is>
          <t>Fase B</t>
        </is>
      </c>
      <c r="I43" s="47" t="n"/>
      <c r="J43" s="47" t="inlineStr">
        <is>
          <t>Giuseppe</t>
        </is>
      </c>
      <c r="K43" s="47" t="inlineStr">
        <is>
          <t>Chiuso</t>
        </is>
      </c>
      <c r="L43" s="47" t="inlineStr">
        <is>
          <t>A5</t>
        </is>
      </c>
      <c r="M43" s="47" t="inlineStr">
        <is>
          <t>Nato con D-076 (30/10/2026) | 30/10/2026 (A5.P4): avverato e risolto. Il Korsch in asse non regge 3,9° (fasci sovrapposti sullo specchio di rinvio); sostituito dal telescopio RC + 3 lenti (D-088), che regge tutto il campo.</t>
        </is>
      </c>
    </row>
    <row r="44">
      <c r="A44" s="47" t="inlineStr">
        <is>
          <t>R-43</t>
        </is>
      </c>
      <c r="B44" s="47" t="inlineStr">
        <is>
          <t>Il meccanismo del coperchio richiudibile si blocca</t>
        </is>
      </c>
      <c r="C44" s="47" t="inlineStr">
        <is>
          <t>Bloccato chiuso: niente riprese. Bloccato aperto: Sole e iodio sugli specchi (R-23), riprese degradate</t>
        </is>
      </c>
      <c r="D44" s="47" t="inlineStr">
        <is>
          <t>Bassa</t>
        </is>
      </c>
      <c r="E44" s="47" t="inlineStr">
        <is>
          <t>Alta</t>
        </is>
      </c>
      <c r="F44" s="50">
        <f>IF(OR(D44="",E44=""),"",MATCH(D44,{"Bassa","Media","Alta"},0)*MATCH(E44,{"Bassa","Media","Alta"},0))</f>
        <v/>
      </c>
      <c r="G44" s="47" t="inlineStr">
        <is>
          <t>Meccanismo con eredità di volo e prove di vita (cicli) in Fase B; posizione di sicurezza aperta con assetto che tiene il Sole fuori dai 52°</t>
        </is>
      </c>
      <c r="H44" s="47" t="inlineStr">
        <is>
          <t>Fase B</t>
        </is>
      </c>
      <c r="I44" s="47" t="n"/>
      <c r="J44" s="47" t="inlineStr">
        <is>
          <t>Giuseppe</t>
        </is>
      </c>
      <c r="K44" s="47" t="inlineStr">
        <is>
          <t>Aperto</t>
        </is>
      </c>
      <c r="L44" s="47" t="inlineStr">
        <is>
          <t>A5</t>
        </is>
      </c>
      <c r="M44" s="47" t="inlineStr">
        <is>
          <t>Nato con D-079 (30/10/2026) | 30/10/2026: posizione di sicurezza aperta compatibile con il safe GNC se i pannelli sono perpendicolari all'asse ottico (A5.6).</t>
        </is>
      </c>
    </row>
    <row r="45">
      <c r="A45" s="47" t="inlineStr">
        <is>
          <t>R-44</t>
        </is>
      </c>
      <c r="B45" s="47" t="inlineStr">
        <is>
          <t>Il contatto con Fucino dopo le riprese è troppo corto, oppure Fucino non può ricevere dati a 4,3 Mbit/s (antenna, licenza, trasmissione non permessa durante le riprese)</t>
        </is>
      </c>
      <c r="C45" s="47" t="inlineStr">
        <is>
          <t>Gli allarmi diurni arrivano al contatto con Svalbard (~1 h 15 min dopo la ripresa invece di ~2 min); quelli notturni dopo 5–8 min; resta dentro le 48 h di MR-02</t>
        </is>
      </c>
      <c r="D45" s="47" t="inlineStr">
        <is>
          <t>Media</t>
        </is>
      </c>
      <c r="E45" s="47" t="inlineStr">
        <is>
          <t>Bassa</t>
        </is>
      </c>
      <c r="F45" s="50">
        <f>IF(OR(D45="",E45=""),"",MATCH(D45,{"Bassa","Media","Alta"},0)*MATCH(E45,{"Bassa","Media","Alta"},0))</f>
        <v/>
      </c>
      <c r="G45" s="47" t="inlineStr">
        <is>
          <t>Verifica GMAT della finestra Fucino dopo l'ultimo bersaglio (Giuliano); caratteristiche della stazione di Fucino in banda S; se il contatto salta gli allarmi restano in classe 2 della coda (D-073) e partono al primo contatto Svalbard/Fairbanks</t>
        </is>
      </c>
      <c r="H45" s="47" t="inlineStr">
        <is>
          <t>A5.5 (Giuliano), Fase B</t>
        </is>
      </c>
      <c r="I45" s="47" t="n"/>
      <c r="J45" s="47" t="inlineStr">
        <is>
          <t>Entrambi</t>
        </is>
      </c>
      <c r="K45" s="47" t="inlineStr">
        <is>
          <t>Aperto</t>
        </is>
      </c>
      <c r="L45" s="47" t="inlineStr">
        <is>
          <t>A5</t>
        </is>
      </c>
      <c r="M45" s="47" t="inlineStr">
        <is>
          <t>Nato con D-081 (30/10/2026) | 30/10/2026 (G2): vale solo di giorno; finestra residua 50–198 s (GMAT). Da verificare con Telespazio la ricezione S a 4,3 Mbit/s a Fucino.</t>
        </is>
      </c>
    </row>
    <row r="46">
      <c r="A46" s="47" t="inlineStr">
        <is>
          <t>R-45</t>
        </is>
      </c>
      <c r="B46" s="47" t="inlineStr">
        <is>
          <t>Mancato dispiegamento dell'antenna UHF</t>
        </is>
      </c>
      <c r="C46" s="47" t="inlineStr">
        <is>
          <t>Perdita della via di riserva (resta la banda S)</t>
        </is>
      </c>
      <c r="D46" s="47" t="inlineStr">
        <is>
          <t>Bassa</t>
        </is>
      </c>
      <c r="E46" s="47" t="inlineStr">
        <is>
          <t>Media</t>
        </is>
      </c>
      <c r="F46" s="50">
        <f>IF(OR(D46="",E46=""),"",MATCH(D46,{"Bassa","Media","Alta"},0)*MATCH(E46,{"Bassa","Media","Alta"},0))</f>
        <v/>
      </c>
      <c r="G46" s="47" t="inlineStr">
        <is>
          <t>Antenna con eredità di volo e prove di dispiegamento (Fase B/C); la catena S resta la via principale con antenne fisse</t>
        </is>
      </c>
      <c r="H46" s="47" t="inlineStr">
        <is>
          <t>Fase B</t>
        </is>
      </c>
      <c r="I46" s="47" t="n"/>
      <c r="J46" s="47" t="inlineStr">
        <is>
          <t>Giuliano</t>
        </is>
      </c>
      <c r="K46" s="47" t="inlineStr">
        <is>
          <t>Aperto</t>
        </is>
      </c>
      <c r="L46" s="47" t="inlineStr">
        <is>
          <t>A5</t>
        </is>
      </c>
      <c r="M46" s="47" t="inlineStr">
        <is>
          <t>Nato con D-082 (30/10/2026). Anche disponibilità di stazioni UHF e licenza 400,15–401 MHz da verificare</t>
        </is>
      </c>
    </row>
    <row r="47">
      <c r="A47" s="47" t="inlineStr">
        <is>
          <t>R-46</t>
        </is>
      </c>
      <c r="B47" s="47" t="inlineStr">
        <is>
          <t>Ricetrasmettitore S di riferimento (classe XLink-S) senza eredità di volo verificabile</t>
        </is>
      </c>
      <c r="C47" s="47" t="inlineStr">
        <is>
          <t>Ritardi o sostituzione della radio S</t>
        </is>
      </c>
      <c r="D47" s="47" t="inlineStr">
        <is>
          <t>Media</t>
        </is>
      </c>
      <c r="E47" s="47" t="inlineStr">
        <is>
          <t>Media</t>
        </is>
      </c>
      <c r="F47" s="50">
        <f>IF(OR(D47="",E47=""),"",MATCH(D47,{"Bassa","Media","Alta"},0)*MATCH(E47,{"Bassa","Media","Alta"},0))</f>
        <v/>
      </c>
      <c r="G47" s="47" t="inlineStr">
        <is>
          <t>Verificare i voli con il costruttore in Fase B; ripiego R1 (ISIS TXS2 + ricevitore ISIS, a catalogo) accettando una salita lenta (9,6 kbit/s) o un ricevitore separato più veloce</t>
        </is>
      </c>
      <c r="H47" s="47" t="inlineStr">
        <is>
          <t>Fase B</t>
        </is>
      </c>
      <c r="I47" s="47" t="n"/>
      <c r="J47" s="47" t="inlineStr">
        <is>
          <t>Giuliano</t>
        </is>
      </c>
      <c r="K47" s="47" t="inlineStr">
        <is>
          <t>Aperto</t>
        </is>
      </c>
      <c r="L47" s="47" t="inlineStr">
        <is>
          <t>A5</t>
        </is>
      </c>
      <c r="M47" s="47" t="inlineStr">
        <is>
          <t>Nato con D-084 (30/10/2026)</t>
        </is>
      </c>
    </row>
    <row r="48">
      <c r="A48" s="47" t="inlineStr">
        <is>
          <t>R-47</t>
        </is>
      </c>
      <c r="B48" s="47" t="inlineStr">
        <is>
          <t>Il chip AI scelto (famiglia commerciale) esce di produzione o cambia prima della costruzione dei 4 satelliti</t>
        </is>
      </c>
      <c r="C48" s="47" t="inlineStr">
        <is>
          <t>Riprogettare la schedina AI e riportare la rete sul nuovo chip; ritardo</t>
        </is>
      </c>
      <c r="D48" s="47" t="inlineStr">
        <is>
          <t>Media</t>
        </is>
      </c>
      <c r="E48" s="47" t="inlineStr">
        <is>
          <t>Media</t>
        </is>
      </c>
      <c r="F48" s="50">
        <f>IF(OR(D48="",E48=""),"",MATCH(D48,{"Bassa","Media","Alta"},0)*MATCH(E48,{"Bassa","Media","Alta"},0))</f>
        <v/>
      </c>
      <c r="G48" s="47" t="inlineStr">
        <is>
          <t>Verificare in Fase B disponibilità e piano di produzione; tenere la rete in un formato portabile; FPGA dell'opzione 1 come riserva (stesse interfacce)</t>
        </is>
      </c>
      <c r="H48" s="47" t="inlineStr">
        <is>
          <t>Fase B</t>
        </is>
      </c>
      <c r="I48" s="47" t="n"/>
      <c r="J48" s="47" t="inlineStr">
        <is>
          <t>Giuseppe</t>
        </is>
      </c>
      <c r="K48" s="47" t="inlineStr">
        <is>
          <t>Aperto</t>
        </is>
      </c>
      <c r="L48" s="47" t="inlineStr">
        <is>
          <t>A5</t>
        </is>
      </c>
      <c r="M48" s="47" t="inlineStr">
        <is>
          <t>Nato con D-085 (30/10/2026)</t>
        </is>
      </c>
    </row>
    <row r="49" s="26">
      <c r="A49" s="47" t="inlineStr">
        <is>
          <t>R-48</t>
        </is>
      </c>
      <c r="B49" s="47" t="inlineStr">
        <is>
          <t>Il chip AI commerciale subisce errori o blocchi da radiazione (inversione di bit, latch-up)</t>
        </is>
      </c>
      <c r="C49" s="47" t="inlineStr">
        <is>
          <t>Elaborazione interrotta o risultato sbagliato; allarmi in ritardo fino al riavvio</t>
        </is>
      </c>
      <c r="D49" s="47" t="inlineStr">
        <is>
          <t>Bassa</t>
        </is>
      </c>
      <c r="E49" s="47" t="inlineStr">
        <is>
          <t>Media</t>
        </is>
      </c>
      <c r="F49" s="50">
        <f>IF(OR(D49="",E49=""),"",MATCH(D49,{"Bassa","Media","Alta"},0)*MATCH(E49,{"Bassa","Media","Alta"},0))</f>
        <v/>
      </c>
      <c r="G49" s="47" t="inlineStr">
        <is>
          <t>Orbita bassa (302 km, dose ridotta); controllo dell'FPGA con riavvio automatico e protezione da sovracorrente; modo degradato DR-51; controllo dei risultati a terra (D-065)</t>
        </is>
      </c>
      <c r="H49" s="47" t="inlineStr">
        <is>
          <t>Fase B (prove di radiazione)</t>
        </is>
      </c>
      <c r="I49" s="47" t="n"/>
      <c r="J49" s="47" t="inlineStr">
        <is>
          <t>Giuseppe</t>
        </is>
      </c>
      <c r="K49" s="47" t="inlineStr">
        <is>
          <t>Aperto</t>
        </is>
      </c>
      <c r="L49" s="47" t="inlineStr">
        <is>
          <t>A5</t>
        </is>
      </c>
      <c r="M49" s="47" t="inlineStr">
        <is>
          <t>Nato con D-085 (30/10/2026)</t>
        </is>
      </c>
    </row>
    <row r="50" s="26">
      <c r="A50" s="47" t="inlineStr">
        <is>
          <t>R-49</t>
        </is>
      </c>
      <c r="B50" s="47" t="inlineStr">
        <is>
          <t>La struttura in fibra di carbonio cambia lunghezza dopo il lancio (rilascio di umidità nel vuoto nei primi mesi, assestamento) o con la temperatura, e il sensore esce dal fuoco</t>
        </is>
      </c>
      <c r="C50" s="47" t="inlineStr">
        <is>
          <t>Fuoco fuori da ±37 µm (DR-03): immagini diurne meno nitide (a ±50 µm errore d'onda 44 nm, a ±100 µm 81 nm)</t>
        </is>
      </c>
      <c r="D50" s="47" t="inlineStr">
        <is>
          <t>Media</t>
        </is>
      </c>
      <c r="E50" s="47" t="inlineStr">
        <is>
          <t>Media</t>
        </is>
      </c>
      <c r="F50" s="50">
        <f>IF(OR(D50="",E50=""),"",MATCH(D50,{"Bassa","Media","Alta"},0)*MATCH(E50,{"Bassa","Media","Alta"},0))</f>
        <v/>
      </c>
      <c r="G50" s="47" t="inlineStr">
        <is>
          <t>Carbonio con resina a basso assorbimento d'acqua e barriera all'umidità; analisi termo-ottica e prova in termo-vuoto (Fase B/C); se il margine non basta, piccolo meccanismo di fuoco sul secondario (decisione in Fase B); fuoco controllato in volo al commissioning</t>
        </is>
      </c>
      <c r="H50" s="47" t="inlineStr">
        <is>
          <t>Fase B</t>
        </is>
      </c>
      <c r="I50" s="47" t="n"/>
      <c r="J50" s="47" t="inlineStr">
        <is>
          <t>Giuseppe</t>
        </is>
      </c>
      <c r="K50" s="47" t="inlineStr">
        <is>
          <t>Aperto</t>
        </is>
      </c>
      <c r="L50" s="47" t="inlineStr">
        <is>
          <t>A5</t>
        </is>
      </c>
      <c r="M50" s="47" t="inlineStr">
        <is>
          <t>Nato con D-088 e D-090 (30/10/2026). Collegato a R-24 (calore del motore)</t>
        </is>
      </c>
    </row>
    <row r="51" s="26">
      <c r="A51" s="47" t="inlineStr">
        <is>
          <t>R-50</t>
        </is>
      </c>
      <c r="B51" s="47" t="inlineStr">
        <is>
          <t>Luce parassita: luce che passa dal foro centrale del primario o rimbalza sul tubo e arriva ai sensori senza formare immagine</t>
        </is>
      </c>
      <c r="C51" s="47" t="inlineStr">
        <is>
          <t>Contrasto più basso; di notte fondo più alto vicino a città illuminate o con la Luna (SNR più basso, falsi segnali nella conferma blackout)</t>
        </is>
      </c>
      <c r="D51" s="47" t="inlineStr">
        <is>
          <t>Media</t>
        </is>
      </c>
      <c r="E51" s="47" t="inlineStr">
        <is>
          <t>Media</t>
        </is>
      </c>
      <c r="F51" s="50">
        <f>IF(OR(D51="",E51=""),"",MATCH(D51,{"Bassa","Media","Alta"},0)*MATCH(E51,{"Bassa","Media","Alta"},0))</f>
        <v/>
      </c>
      <c r="G51" s="47" t="inlineStr">
        <is>
          <t>Tubetto paraluce nel foro del primario e paraluce intorno al secondario (normali negli RC), alette interne nel tubo, vernice nera; analisi di luce parassita in Fase B; fondo misurato e tolto come per la Luna (D-063)</t>
        </is>
      </c>
      <c r="H51" s="47" t="inlineStr">
        <is>
          <t>Fase B</t>
        </is>
      </c>
      <c r="I51" s="47" t="n"/>
      <c r="J51" s="47" t="inlineStr">
        <is>
          <t>Giuseppe</t>
        </is>
      </c>
      <c r="K51" s="47" t="inlineStr">
        <is>
          <t>Aperto</t>
        </is>
      </c>
      <c r="L51" s="47" t="inlineStr">
        <is>
          <t>A5</t>
        </is>
      </c>
      <c r="M51" s="47" t="inlineStr">
        <is>
          <t>Nato con D-088 (30/10/2026). Collegato a R-20 (modello SNR senza luce parassita)</t>
        </is>
      </c>
    </row>
    <row r="52" s="26">
      <c r="A52" s="47" t="inlineStr">
        <is>
          <t>R-51</t>
        </is>
      </c>
      <c r="B52" s="47" t="inlineStr">
        <is>
          <t>Il calore della scheda payload, montata vicino al piano focale (D-091), scalda i sensori o il telescopio</t>
        </is>
      </c>
      <c r="C52" s="47" t="inlineStr">
        <is>
          <t>Fuoco spostato oltre ±37 µm (DR-03) o sensore notturno più caldo (più corrente di buio, SNR notturno più basso)</t>
        </is>
      </c>
      <c r="D52" s="47" t="inlineStr">
        <is>
          <t>Bassa</t>
        </is>
      </c>
      <c r="E52" s="47" t="inlineStr">
        <is>
          <t>Media</t>
        </is>
      </c>
      <c r="F52" s="50">
        <f>IF(OR(D52="",E52=""),"",MATCH(D52,{"Bassa","Media","Alta"},0)*MATCH(E52,{"Bassa","Media","Alta"},0))</f>
        <v/>
      </c>
      <c r="G52" s="47" t="inlineStr">
        <is>
          <t>Scheda fissata alla struttura con isolamento termico verso il telescopio, radiatore proprio, accesa solo intorno alle riprese (~10 min); verifica nell'analisi termica A5.P7; riserva: scheda divisa in due (opzione C di D-091)</t>
        </is>
      </c>
      <c r="H52" s="47" t="inlineStr">
        <is>
          <t>A5.P7, Fase B</t>
        </is>
      </c>
      <c r="I52" s="47" t="n"/>
      <c r="J52" s="47" t="inlineStr">
        <is>
          <t>Giuseppe</t>
        </is>
      </c>
      <c r="K52" s="47" t="inlineStr">
        <is>
          <t>Aperto</t>
        </is>
      </c>
      <c r="L52" s="47" t="inlineStr">
        <is>
          <t>A5</t>
        </is>
      </c>
      <c r="M52" s="47" t="inlineStr">
        <is>
          <t>Nato con D-091 (30/10/2026). Collegato a R-24, R-49</t>
        </is>
      </c>
    </row>
    <row r="53" s="26">
      <c r="A53" s="47" t="inlineStr">
        <is>
          <t>R-52</t>
        </is>
      </c>
      <c r="B53" s="47" t="inlineStr">
        <is>
          <t>I sensori commerciali (IMX342 di giorno, GSENSE400BSI di notte) non reggono bene la radiazione: blocco da particella singola (latch-up) o pixel caldi che crescono negli anni</t>
        </is>
      </c>
      <c r="C53" s="47" t="inlineStr">
        <is>
          <t>Latch-up: sensore danneggiato se non protetto. Pixel caldi e buio in aumento: SNR notturno più basso e falsi punti luminosi (conferma blackout)</t>
        </is>
      </c>
      <c r="D53" s="47" t="inlineStr">
        <is>
          <t>Media</t>
        </is>
      </c>
      <c r="E53" s="47" t="inlineStr">
        <is>
          <t>Media</t>
        </is>
      </c>
      <c r="F53" s="50">
        <f>IF(OR(D53="",E53=""),"",MATCH(D53,{"Bassa","Media","Alta"},0)*MATCH(E53,{"Bassa","Media","Alta"},0))</f>
        <v/>
      </c>
      <c r="G53" s="47" t="inlineStr">
        <is>
          <t>Prove a protoni e ioni pesanti in Fase B (DR-54); limitatore di corrente con riavvio; mappa dei pixel caldi aggiornata in volo e tolta a terra; sensore notturno freddo (DR-55); seconde fonti: GMAX3265 (giorno), Teledyne Emerald 67M USV già selezionato per lo spazio (riserva con meno SNR)</t>
        </is>
      </c>
      <c r="H53" s="47" t="inlineStr">
        <is>
          <t>Fase B</t>
        </is>
      </c>
      <c r="I53" s="47" t="n"/>
      <c r="J53" s="47" t="inlineStr">
        <is>
          <t>Giuseppe</t>
        </is>
      </c>
      <c r="K53" s="47" t="inlineStr">
        <is>
          <t>Aperto</t>
        </is>
      </c>
      <c r="L53" s="47" t="inlineStr">
        <is>
          <t>A5</t>
        </is>
      </c>
      <c r="M53" s="47" t="inlineStr">
        <is>
          <t>Nato con D-093 e D-094 (30/10/2026)</t>
        </is>
      </c>
    </row>
    <row r="54" s="26">
      <c r="A54" s="47" t="inlineStr">
        <is>
          <t>R-53</t>
        </is>
      </c>
      <c r="B54" s="47" t="inlineStr">
        <is>
          <t>Il controllo d'assetto non riesce a tenere il rallentamento diurno (D-096) abbastanza regolare, oppure la manovra allunga troppo le scene</t>
        </is>
      </c>
      <c r="C54" s="47" t="inlineStr">
        <is>
          <t>Passaggi TDI non allineati (immagine sfocata) o meno scene per passaggio sull'Italia</t>
        </is>
      </c>
      <c r="D54" s="47" t="inlineStr">
        <is>
          <t>Bassa</t>
        </is>
      </c>
      <c r="E54" s="47" t="inlineStr">
        <is>
          <t>Media</t>
        </is>
      </c>
      <c r="F54" s="50">
        <f>IF(OR(D54="",E54=""),"",MATCH(D54,{"Bassa","Media","Alta"},0)*MATCH(E54,{"Bassa","Media","Alta"},0))</f>
        <v/>
      </c>
      <c r="G54" s="47" t="inlineStr">
        <is>
          <t>Simulazione del profilo con il modello ADCS di A5.3 (Giuliano); riallineamento a bordo con il modello geometrico (DR-26); ripiego opzione C (0,1 ms senza manovra, SNR −30%) o rallentamento più piccolo</t>
        </is>
      </c>
      <c r="H54" s="47" t="inlineStr">
        <is>
          <t>A5.7, Fase B</t>
        </is>
      </c>
      <c r="I54" s="47" t="n"/>
      <c r="J54" s="47" t="inlineStr">
        <is>
          <t>Entrambi</t>
        </is>
      </c>
      <c r="K54" s="47" t="inlineStr">
        <is>
          <t>Aperto</t>
        </is>
      </c>
      <c r="L54" s="47" t="inlineStr">
        <is>
          <t>A5</t>
        </is>
      </c>
      <c r="M54" s="47" t="inlineStr">
        <is>
          <t>Nato con D-096 (30/10/2026)</t>
        </is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2026-10-30T16:14:26Z</dcterms:modified>
  <cp:revision>0</cp:revision>
</cp:coreProperties>
</file>