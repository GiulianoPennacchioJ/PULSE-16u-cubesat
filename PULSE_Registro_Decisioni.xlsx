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'Decisioni'!$A$1:$O$52</definedName>
    <definedName name="_xlnm._FilterDatabase" localSheetId="2" hidden="1">'Requisiti'!$A$1:$I$44</definedName>
    <definedName name="_xlnm._FilterDatabase" localSheetId="3" hidden="1">'Rischi'!$A$1:$M$39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5" t="inlineStr">
        <is>
          <t>D-001</t>
        </is>
      </c>
      <c r="B2" s="46" t="n">
        <v>46296</v>
      </c>
      <c r="C2" s="45" t="inlineStr">
        <is>
          <t>Fase 0</t>
        </is>
      </c>
      <c r="D2" s="45" t="inlineStr">
        <is>
          <t>Entrambi</t>
        </is>
      </c>
      <c r="E2" s="45" t="inlineStr">
        <is>
          <t>Missione</t>
        </is>
      </c>
      <c r="F2" s="45" t="inlineStr">
        <is>
          <t>Utente di riferimento: Protezione Civile italiana</t>
        </is>
      </c>
      <c r="G2" s="45" t="inlineStr">
        <is>
          <t>—</t>
        </is>
      </c>
      <c r="H2" s="45" t="inlineStr">
        <is>
          <t>Utente reale con bisogno di mappe rapide; confronto con Copernicus EMS e International Charter</t>
        </is>
      </c>
      <c r="I2" s="45" t="inlineStr">
        <is>
          <t>Tutti i requisiti</t>
        </is>
      </c>
      <c r="J2" s="45" t="n"/>
      <c r="K2" s="45" t="n"/>
      <c r="L2" s="45" t="inlineStr">
        <is>
          <t>Approvata</t>
        </is>
      </c>
      <c r="M2" s="45" t="n"/>
      <c r="N2" s="45" t="inlineStr">
        <is>
          <t>Report MDR §2</t>
        </is>
      </c>
      <c r="O2" s="45" t="n"/>
    </row>
    <row r="3" ht="34.5" customHeight="1" s="26">
      <c r="A3" s="45" t="inlineStr">
        <is>
          <t>D-002</t>
        </is>
      </c>
      <c r="B3" s="46" t="n">
        <v>46296</v>
      </c>
      <c r="C3" s="45" t="inlineStr">
        <is>
          <t>Fase 0</t>
        </is>
      </c>
      <c r="D3" s="45" t="inlineStr">
        <is>
          <t>Entrambi</t>
        </is>
      </c>
      <c r="E3" s="45" t="inlineStr">
        <is>
          <t>Missione</t>
        </is>
      </c>
      <c r="F3" s="45" t="inlineStr">
        <is>
          <t>Eventi: di giorno danni a infrastrutture (terremoti, frane, crolli), alluvioni, incendi; di notte incendi, blackout, danni indiretti dalle luci</t>
        </is>
      </c>
      <c r="G3" s="45" t="inlineStr">
        <is>
          <t>Solo eventi a cielo sereno</t>
        </is>
      </c>
      <c r="H3" s="45" t="inlineStr">
        <is>
          <t>Le alluvioni sono il caso più frequente; il limite delle nuvole è dichiarato</t>
        </is>
      </c>
      <c r="I3" s="45" t="inlineStr">
        <is>
          <t>Payload, AI</t>
        </is>
      </c>
      <c r="J3" s="45" t="inlineStr">
        <is>
          <t>MR-06, MR-07, MR-08</t>
        </is>
      </c>
      <c r="K3" s="45" t="inlineStr">
        <is>
          <t>R-03, R-08</t>
        </is>
      </c>
      <c r="L3" s="45" t="inlineStr">
        <is>
          <t>Approvata</t>
        </is>
      </c>
      <c r="M3" s="45" t="n"/>
      <c r="N3" s="45" t="inlineStr">
        <is>
          <t>Report MDR §2, §4.6</t>
        </is>
      </c>
      <c r="O3" s="45" t="n"/>
    </row>
    <row r="4" ht="23.25" customHeight="1" s="26">
      <c r="A4" s="45" t="inlineStr">
        <is>
          <t>D-003</t>
        </is>
      </c>
      <c r="B4" s="46" t="n">
        <v>46296</v>
      </c>
      <c r="C4" s="45" t="inlineStr">
        <is>
          <t>Fase 0</t>
        </is>
      </c>
      <c r="D4" s="45" t="inlineStr">
        <is>
          <t>Entrambi</t>
        </is>
      </c>
      <c r="E4" s="45" t="inlineStr">
        <is>
          <t>Missione</t>
        </is>
      </c>
      <c r="F4" s="45" t="inlineStr">
        <is>
          <t>Area: tutta Italia, 5°E–20°E, 35°N–48°N</t>
        </is>
      </c>
      <c r="G4" s="45" t="inlineStr">
        <is>
          <t>Copertura globale</t>
        </is>
      </c>
      <c r="H4" s="45" t="inlineStr">
        <is>
          <t>Come EarthNext; dimensiona rete di terra e dati di riferimento</t>
        </is>
      </c>
      <c r="I4" s="45" t="inlineStr">
        <is>
          <t>Accessi, dati OSM/DEM</t>
        </is>
      </c>
      <c r="J4" s="45" t="inlineStr">
        <is>
          <t>MR-01</t>
        </is>
      </c>
      <c r="K4" s="45" t="n"/>
      <c r="L4" s="45" t="inlineStr">
        <is>
          <t>Approvata</t>
        </is>
      </c>
      <c r="M4" s="45" t="n"/>
      <c r="N4" s="45" t="inlineStr">
        <is>
          <t>Report MDR §2</t>
        </is>
      </c>
      <c r="O4" s="45" t="n"/>
    </row>
    <row r="5" ht="34.5" customHeight="1" s="26">
      <c r="A5" s="45" t="inlineStr">
        <is>
          <t>D-004</t>
        </is>
      </c>
      <c r="B5" s="46" t="n">
        <v>46296</v>
      </c>
      <c r="C5" s="45" t="inlineStr">
        <is>
          <t>Fase 0</t>
        </is>
      </c>
      <c r="D5" s="45" t="inlineStr">
        <is>
          <t>Entrambi</t>
        </is>
      </c>
      <c r="E5" s="45" t="inlineStr">
        <is>
          <t>Payload</t>
        </is>
      </c>
      <c r="F5" s="45" t="inlineStr">
        <is>
          <t>Livello di dettaglio: infrastrutture e crolli estesi (ponti, strade, isolati), non singoli edifici; 16U a ~1–1,5 m</t>
        </is>
      </c>
      <c r="G5" s="45" t="inlineStr">
        <is>
          <t>Microsatellite 50–150 kg per &lt; 0,5 m; quota ~250 km</t>
        </is>
      </c>
      <c r="H5" s="45" t="inlineStr">
        <is>
          <t>Con 12 cm di apertura il limite di diffrazione a 302 km è 1,7 m; per 0,5 m servirebbero ~40 cm</t>
        </is>
      </c>
      <c r="I5" s="45" t="inlineStr">
        <is>
          <t>Ottica</t>
        </is>
      </c>
      <c r="J5" s="45" t="inlineStr">
        <is>
          <t>MR-03</t>
        </is>
      </c>
      <c r="K5" s="45" t="inlineStr">
        <is>
          <t>R-01</t>
        </is>
      </c>
      <c r="L5" s="45" t="inlineStr">
        <is>
          <t>Approvata</t>
        </is>
      </c>
      <c r="M5" s="45" t="n"/>
      <c r="N5" s="45" t="inlineStr">
        <is>
          <t>Report MDR §4.1</t>
        </is>
      </c>
      <c r="O5" s="45" t="n"/>
    </row>
    <row r="6" ht="23.25" customHeight="1" s="26">
      <c r="A6" s="45" t="inlineStr">
        <is>
          <t>D-005</t>
        </is>
      </c>
      <c r="B6" s="46" t="n">
        <v>46296</v>
      </c>
      <c r="C6" s="45" t="inlineStr">
        <is>
          <t>Fase 0</t>
        </is>
      </c>
      <c r="D6" s="45" t="inlineStr">
        <is>
          <t>Entrambi</t>
        </is>
      </c>
      <c r="E6" s="45" t="inlineStr">
        <is>
          <t>Missione</t>
        </is>
      </c>
      <c r="F6" s="45" t="inlineStr">
        <is>
          <t>Tempo di risposta: mappa entro 48 h dalla richiesta</t>
        </is>
      </c>
      <c r="G6" s="45" t="inlineStr">
        <is>
          <t>6 h, 24 h, 72 h</t>
        </is>
      </c>
      <c r="H6" s="45" t="inlineStr">
        <is>
          <t>Utile ai soccorsi e credibile per una CubeSat in VLEO</t>
        </is>
      </c>
      <c r="I6" s="45" t="inlineStr">
        <is>
          <t>Numero satelliti, rete di terra</t>
        </is>
      </c>
      <c r="J6" s="45" t="inlineStr">
        <is>
          <t>MR-02</t>
        </is>
      </c>
      <c r="K6" s="45" t="inlineStr">
        <is>
          <t>R-08</t>
        </is>
      </c>
      <c r="L6" s="45" t="inlineStr">
        <is>
          <t>Approvata</t>
        </is>
      </c>
      <c r="M6" s="45" t="n"/>
      <c r="N6" s="45" t="inlineStr">
        <is>
          <t>Report MDR §2, §6</t>
        </is>
      </c>
      <c r="O6" s="45" t="n"/>
    </row>
    <row r="7" ht="23.25" customHeight="1" s="26">
      <c r="A7" s="45" t="inlineStr">
        <is>
          <t>D-006</t>
        </is>
      </c>
      <c r="B7" s="46" t="n">
        <v>46296</v>
      </c>
      <c r="C7" s="45" t="inlineStr">
        <is>
          <t>Fase 0</t>
        </is>
      </c>
      <c r="D7" s="45" t="inlineStr">
        <is>
          <t>Entrambi</t>
        </is>
      </c>
      <c r="E7" s="45" t="inlineStr">
        <is>
          <t>GNC</t>
        </is>
      </c>
      <c r="F7" s="45" t="inlineStr">
        <is>
          <t>Off-nadir: qualità nominale fino a 30°, puntamento fino a 45° in modalità degradata</t>
        </is>
      </c>
      <c r="G7" s="45" t="inlineStr">
        <is>
          <t>20° massimi; 45° nominali</t>
        </is>
      </c>
      <c r="H7" s="45" t="inlineStr">
        <is>
          <t>Compromesso tra frequenza degli accessi e risoluzione</t>
        </is>
      </c>
      <c r="I7" s="45" t="inlineStr">
        <is>
          <t>Accessi, GNC, ottica</t>
        </is>
      </c>
      <c r="J7" s="45" t="inlineStr">
        <is>
          <t>MR-05</t>
        </is>
      </c>
      <c r="K7" s="45" t="inlineStr">
        <is>
          <t>R-06</t>
        </is>
      </c>
      <c r="L7" s="45" t="inlineStr">
        <is>
          <t>Approvata</t>
        </is>
      </c>
      <c r="M7" s="45" t="n"/>
      <c r="N7" s="45" t="inlineStr">
        <is>
          <t>Report MDR</t>
        </is>
      </c>
      <c r="O7" s="45" t="n"/>
    </row>
    <row r="8" ht="23.25" customHeight="1" s="26">
      <c r="A8" s="45" t="inlineStr">
        <is>
          <t>D-007</t>
        </is>
      </c>
      <c r="B8" s="46" t="n">
        <v>46296</v>
      </c>
      <c r="C8" s="45" t="inlineStr">
        <is>
          <t>Fase 0</t>
        </is>
      </c>
      <c r="D8" s="45" t="inlineStr">
        <is>
          <t>Entrambi</t>
        </is>
      </c>
      <c r="E8" s="45" t="inlineStr">
        <is>
          <t>AI / Dati</t>
        </is>
      </c>
      <c r="F8" s="45" t="inlineStr">
        <is>
          <t>Prodotto: vettori georeferenziati (GIS) + ritaglio d'immagine per ogni allarme</t>
        </is>
      </c>
      <c r="G8" s="45" t="inlineStr">
        <is>
          <t>Immagini intere a terra</t>
        </is>
      </c>
      <c r="H8" s="45" t="inlineStr">
        <is>
          <t>Pochi kB per allarme: passano anche in S-band; si apre su tablet sul campo</t>
        </is>
      </c>
      <c r="I8" s="45" t="inlineStr">
        <is>
          <t>TT&amp;C, AI</t>
        </is>
      </c>
      <c r="J8" s="45" t="inlineStr">
        <is>
          <t>MR-09</t>
        </is>
      </c>
      <c r="K8" s="45" t="n"/>
      <c r="L8" s="45" t="inlineStr">
        <is>
          <t>Approvata</t>
        </is>
      </c>
      <c r="M8" s="45" t="n"/>
      <c r="N8" s="45" t="inlineStr">
        <is>
          <t>Report MDR §4.6</t>
        </is>
      </c>
      <c r="O8" s="45" t="n"/>
    </row>
    <row r="9" ht="34.5" customHeight="1" s="26">
      <c r="A9" s="45" t="inlineStr">
        <is>
          <t>D-008</t>
        </is>
      </c>
      <c r="B9" s="46" t="n">
        <v>46296</v>
      </c>
      <c r="C9" s="45" t="inlineStr">
        <is>
          <t>Fase 0</t>
        </is>
      </c>
      <c r="D9" s="45" t="inlineStr">
        <is>
          <t>Entrambi</t>
        </is>
      </c>
      <c r="E9" s="45" t="inlineStr">
        <is>
          <t>AI / Dati</t>
        </is>
      </c>
      <c r="F9" s="45" t="inlineStr">
        <is>
          <t>Riferimento "prima" a bordo: vettori OpenStreetMap + DEM (~670 MB a 30 m)</t>
        </is>
      </c>
      <c r="G9" s="45" t="inlineStr">
        <is>
          <t>Immagini delle zone a rischio a bordo; solo passaggio precedente (resta complemento)</t>
        </is>
      </c>
      <c r="H9" s="45" t="inlineStr">
        <is>
          <t>L'Italia a 1 m sarebbe centinaia di GB: non entra a bordo né si carica via radio</t>
        </is>
      </c>
      <c r="I9" s="45" t="inlineStr">
        <is>
          <t>Memoria di bordo, AI</t>
        </is>
      </c>
      <c r="J9" s="45" t="inlineStr">
        <is>
          <t>MR-10</t>
        </is>
      </c>
      <c r="K9" s="45" t="inlineStr">
        <is>
          <t>R-05</t>
        </is>
      </c>
      <c r="L9" s="45" t="inlineStr">
        <is>
          <t>Approvata</t>
        </is>
      </c>
      <c r="M9" s="45" t="n"/>
      <c r="N9" s="45" t="inlineStr">
        <is>
          <t>Report MDR §4.5</t>
        </is>
      </c>
      <c r="O9" s="45" t="n"/>
    </row>
    <row r="10" ht="23.25" customHeight="1" s="26">
      <c r="A10" s="45" t="inlineStr">
        <is>
          <t>D-009</t>
        </is>
      </c>
      <c r="B10" s="46" t="n">
        <v>46296</v>
      </c>
      <c r="C10" s="45" t="inlineStr">
        <is>
          <t>Fase 0</t>
        </is>
      </c>
      <c r="D10" s="45" t="inlineStr">
        <is>
          <t>Entrambi</t>
        </is>
      </c>
      <c r="E10" s="45" t="inlineStr">
        <is>
          <t>Missione</t>
        </is>
      </c>
      <c r="F10" s="45" t="inlineStr">
        <is>
          <t>Tipo di missione: dimostratore tecnologico su CubeSat 16U, ~2 anni operativi</t>
        </is>
      </c>
      <c r="G10" s="45" t="inlineStr">
        <is>
          <t>Missione operativa</t>
        </is>
      </c>
      <c r="H10" s="45" t="inlineStr">
        <is>
          <t>Coerente con EarthNext e con un progetto da portfolio</t>
        </is>
      </c>
      <c r="I10" s="45" t="inlineStr">
        <is>
          <t>Budget, ΔV</t>
        </is>
      </c>
      <c r="J10" s="45" t="inlineStr">
        <is>
          <t>MR-12, MR-13</t>
        </is>
      </c>
      <c r="K10" s="45" t="n"/>
      <c r="L10" s="45" t="inlineStr">
        <is>
          <t>Approvata</t>
        </is>
      </c>
      <c r="M10" s="45" t="n"/>
      <c r="N10" s="45" t="inlineStr">
        <is>
          <t>Report MDR §3</t>
        </is>
      </c>
      <c r="O10" s="45" t="n"/>
    </row>
    <row r="11" ht="34.5" customHeight="1" s="26">
      <c r="A11" s="45" t="inlineStr">
        <is>
          <t>D-010</t>
        </is>
      </c>
      <c r="B11" s="46" t="n">
        <v>46296</v>
      </c>
      <c r="C11" s="45" t="inlineStr">
        <is>
          <t>Fase 0</t>
        </is>
      </c>
      <c r="D11" s="45" t="inlineStr">
        <is>
          <t>Entrambi</t>
        </is>
      </c>
      <c r="E11" s="45" t="inlineStr">
        <is>
          <t>Payload</t>
        </is>
      </c>
      <c r="F11" s="45" t="inlineStr">
        <is>
          <t>Payload solo al silicio: CMOS diurno (PAN + RGB-NIR) + sCMOS notturno dual-gain con FMC e binning</t>
        </is>
      </c>
      <c r="G11" s="45" t="inlineStr">
        <is>
          <t>CMOS + InGaAs SWIR; tre sensori ottici; micro-SAR su 16U</t>
        </is>
      </c>
      <c r="H11" s="45" t="inlineStr">
        <is>
          <t>Vede incendi e blackout senza raffreddamento; SAR troppo costoso in potenza e cieco a blackout</t>
        </is>
      </c>
      <c r="I11" s="45" t="inlineStr">
        <is>
          <t>Ottica, potenza</t>
        </is>
      </c>
      <c r="J11" s="45" t="inlineStr">
        <is>
          <t>MR-03, MR-04</t>
        </is>
      </c>
      <c r="K11" s="45" t="inlineStr">
        <is>
          <t>R-02</t>
        </is>
      </c>
      <c r="L11" s="45" t="inlineStr">
        <is>
          <t>Approvata</t>
        </is>
      </c>
      <c r="M11" s="45" t="n"/>
      <c r="N11" s="45" t="inlineStr">
        <is>
          <t>Report MDR §4.2</t>
        </is>
      </c>
      <c r="O11" s="45" t="n"/>
    </row>
    <row r="12" ht="23.25" customHeight="1" s="26">
      <c r="A12" s="45" t="inlineStr">
        <is>
          <t>D-011</t>
        </is>
      </c>
      <c r="B12" s="46" t="n">
        <v>46296</v>
      </c>
      <c r="C12" s="45" t="inlineStr">
        <is>
          <t>Fase 0</t>
        </is>
      </c>
      <c r="D12" s="45" t="inlineStr">
        <is>
          <t>Entrambi</t>
        </is>
      </c>
      <c r="E12" s="45" t="inlineStr">
        <is>
          <t>Payload</t>
        </is>
      </c>
      <c r="F12" s="45" t="inlineStr">
        <is>
          <t>Risoluzione: ≤ 2 m PAN e ≤ 5 m multispettrale di giorno a nadir; ≤ 15 m di notte su aree illuminate</t>
        </is>
      </c>
      <c r="G12" s="45" t="inlineStr">
        <is>
          <t>GSD PAN &lt; 1 m con 12 cm</t>
        </is>
      </c>
      <c r="H12" s="45" t="inlineStr">
        <is>
          <t>Dettaglio reale ~2 m per diffrazione; sotto 1 m 4× meno luce e 4× più dati</t>
        </is>
      </c>
      <c r="I12" s="45" t="inlineStr">
        <is>
          <t>Ottica</t>
        </is>
      </c>
      <c r="J12" s="45" t="inlineStr">
        <is>
          <t>MR-03, MR-04</t>
        </is>
      </c>
      <c r="K12" s="45" t="n"/>
      <c r="L12" s="45" t="inlineStr">
        <is>
          <t>Approvata</t>
        </is>
      </c>
      <c r="M12" s="45" t="n"/>
      <c r="N12" s="45" t="inlineStr">
        <is>
          <t>Report MDR §4.1</t>
        </is>
      </c>
      <c r="O12" s="45" t="n"/>
    </row>
    <row r="13" ht="34.5" customHeight="1" s="26">
      <c r="A13" s="45" t="inlineStr">
        <is>
          <t>D-012</t>
        </is>
      </c>
      <c r="B13" s="46" t="n">
        <v>46296</v>
      </c>
      <c r="C13" s="45" t="inlineStr">
        <is>
          <t>Fase 0</t>
        </is>
      </c>
      <c r="D13" s="45" t="inlineStr">
        <is>
          <t>Entrambi</t>
        </is>
      </c>
      <c r="E13" s="45" t="inlineStr">
        <is>
          <t>Orbita</t>
        </is>
      </c>
      <c r="F13" s="45" t="inlineStr">
        <is>
          <t>Orbita come EarthNext: 302 km (SMA media 6680,2 km), SSO, LTDN 10:30, e = 0,0011, AOP 90°, inclinazione 96,8° (bias)</t>
        </is>
      </c>
      <c r="G13" s="45" t="inlineStr">
        <is>
          <t>Inclinazione 51,6° (non eliosincrona)</t>
        </is>
      </c>
      <c r="H13" s="45" t="inlineStr">
        <is>
          <t>Eredità EarthNext; il bias compensa la deriva solare di −0,33°/anno; ora locale stabile</t>
        </is>
      </c>
      <c r="I13" s="45" t="inlineStr">
        <is>
          <t>Accessi, ΔV</t>
        </is>
      </c>
      <c r="J13" s="45" t="inlineStr">
        <is>
          <t>MR-11</t>
        </is>
      </c>
      <c r="K13" s="45" t="n"/>
      <c r="L13" s="45" t="inlineStr">
        <is>
          <t>Approvata</t>
        </is>
      </c>
      <c r="M13" s="45" t="n"/>
      <c r="N13" s="45" t="inlineStr">
        <is>
          <t>Report MDR §4.3</t>
        </is>
      </c>
      <c r="O13" s="45" t="inlineStr">
        <is>
          <t>Lo 0,011 in una tabella del paper è un refuso</t>
        </is>
      </c>
    </row>
    <row r="14" ht="23.25" customHeight="1" s="26">
      <c r="A14" s="45" t="inlineStr">
        <is>
          <t>D-013</t>
        </is>
      </c>
      <c r="B14" s="46" t="n">
        <v>46296</v>
      </c>
      <c r="C14" s="45" t="inlineStr">
        <is>
          <t>Fase 0</t>
        </is>
      </c>
      <c r="D14" s="45" t="inlineStr">
        <is>
          <t>Entrambi</t>
        </is>
      </c>
      <c r="E14" s="45" t="inlineStr">
        <is>
          <t>AI / Dati</t>
        </is>
      </c>
      <c r="F14" s="45" t="inlineStr">
        <is>
          <t>Allarme blackout notturno solo se confermato, non "possibile"; metodo da trovare</t>
        </is>
      </c>
      <c r="G14" s="45" t="inlineStr">
        <is>
          <t>Allarme "possibile"</t>
        </is>
      </c>
      <c r="H14" s="45" t="inlineStr">
        <is>
          <t>Un falso blackout manda soccorsi nel posto sbagliato</t>
        </is>
      </c>
      <c r="I14" s="45" t="inlineStr">
        <is>
          <t>A4</t>
        </is>
      </c>
      <c r="J14" s="45" t="inlineStr">
        <is>
          <t>MR-07</t>
        </is>
      </c>
      <c r="K14" s="45" t="inlineStr">
        <is>
          <t>R-03</t>
        </is>
      </c>
      <c r="L14" s="45" t="inlineStr">
        <is>
          <t>Approvata</t>
        </is>
      </c>
      <c r="M14" s="45" t="n"/>
      <c r="N14" s="45" t="inlineStr">
        <is>
          <t>Report MDR §4.6</t>
        </is>
      </c>
      <c r="O14" s="45" t="inlineStr">
        <is>
          <t>Da chiudere in A4</t>
        </is>
      </c>
    </row>
    <row r="15" ht="34.5" customHeight="1" s="26">
      <c r="A15" s="45" t="inlineStr">
        <is>
          <t>D-014</t>
        </is>
      </c>
      <c r="B15" s="46" t="n">
        <v>46318</v>
      </c>
      <c r="C15" s="45" t="inlineStr">
        <is>
          <t>Fase 0</t>
        </is>
      </c>
      <c r="D15" s="45" t="inlineStr">
        <is>
          <t>Entrambi</t>
        </is>
      </c>
      <c r="E15" s="45" t="inlineStr">
        <is>
          <t>Missione</t>
        </is>
      </c>
      <c r="F15" s="45" t="inlineStr">
        <is>
          <t>Due concetti candidati in Fase A: C1 satellite singolo, C2 costellazione di 4 sullo stesso piano a 90°</t>
        </is>
      </c>
      <c r="G15" s="45" t="inlineStr">
        <is>
          <t>Scelta del concetto già in Fase 0</t>
        </is>
      </c>
      <c r="H15" s="45" t="inlineStr">
        <is>
          <t>Stima di primo ordine: attesa media ~65 h con 1 satellite, ~16 h con 4 (30°); serve la propagazione</t>
        </is>
      </c>
      <c r="I15" s="45" t="inlineStr">
        <is>
          <t>A1</t>
        </is>
      </c>
      <c r="J15" s="45" t="inlineStr">
        <is>
          <t>MR-02</t>
        </is>
      </c>
      <c r="K15" s="45" t="inlineStr">
        <is>
          <t>R-10</t>
        </is>
      </c>
      <c r="L15" s="45" t="inlineStr">
        <is>
          <t>Superata</t>
        </is>
      </c>
      <c r="M15" s="45" t="inlineStr">
        <is>
          <t>D-015</t>
        </is>
      </c>
      <c r="N15" s="45" t="inlineStr">
        <is>
          <t>Report MDR §4.4, §5</t>
        </is>
      </c>
      <c r="O15" s="45" t="inlineStr">
        <is>
          <t>Chiusura MDR</t>
        </is>
      </c>
    </row>
    <row r="16" ht="34.5" customHeight="1" s="26">
      <c r="A16" s="45" t="inlineStr">
        <is>
          <t>D-015</t>
        </is>
      </c>
      <c r="B16" s="46" t="n">
        <v>46299</v>
      </c>
      <c r="C16" s="45" t="inlineStr">
        <is>
          <t>A1</t>
        </is>
      </c>
      <c r="D16" s="45" t="inlineStr">
        <is>
          <t>Entrambi</t>
        </is>
      </c>
      <c r="E16" s="45" t="inlineStr">
        <is>
          <t>Missione</t>
        </is>
      </c>
      <c r="F16" s="45" t="inlineStr">
        <is>
          <t>Concetto scelto: C2, costellazione di 4 CubeSat 16U sullo stesso piano SSO, anomalia media 0°/90°/180°/270° (opzione I3)</t>
        </is>
      </c>
      <c r="G16" s="45" t="inlineStr">
        <is>
          <t>I1 rilassare il requisito; I2 45° nominali; I4 cambiare orbita; due piani opposti; inclinazione 51,6°</t>
        </is>
      </c>
      <c r="H16" s="45" t="inlineStr">
        <is>
          <t>Satellite singolo: entro 48 h solo nel 34–82% dei casi (serve 90%). Con 4: 100% entro 48 h a 30° giorno+notte, mediana 14–18 h</t>
        </is>
      </c>
      <c r="I16" s="45" t="inlineStr">
        <is>
          <t>ΔV, lancio, costi, operazioni</t>
        </is>
      </c>
      <c r="J16" s="45" t="inlineStr">
        <is>
          <t>MR-02, MR-11</t>
        </is>
      </c>
      <c r="K16" s="45" t="inlineStr">
        <is>
          <t>R-10</t>
        </is>
      </c>
      <c r="L16" s="45" t="inlineStr">
        <is>
          <t>Approvata</t>
        </is>
      </c>
      <c r="M16" s="45" t="n"/>
      <c r="N16" s="45" t="inlineStr">
        <is>
          <t>Report A1-A1bis Parte 1–2</t>
        </is>
      </c>
      <c r="O16" s="45" t="n"/>
    </row>
    <row r="17" ht="23.25" customHeight="1" s="26">
      <c r="A17" s="45" t="inlineStr">
        <is>
          <t>D-016</t>
        </is>
      </c>
      <c r="B17" s="46" t="n">
        <v>46299</v>
      </c>
      <c r="C17" s="45" t="inlineStr">
        <is>
          <t>A1</t>
        </is>
      </c>
      <c r="D17" s="45" t="inlineStr">
        <is>
          <t>Entrambi</t>
        </is>
      </c>
      <c r="E17" s="45" t="inlineStr">
        <is>
          <t>TT&amp;C / Terra</t>
        </is>
      </c>
      <c r="F17" s="45" t="inlineStr">
        <is>
          <t>Rete di terra: Svalbard + Fairbanks principali, Fucino riserva e comandi (elevazione minima 10°)</t>
        </is>
      </c>
      <c r="G17" s="45" t="inlineStr">
        <is>
          <t>Fucino + Matera + Svalbard (buco notturno 12,1 h)</t>
        </is>
      </c>
      <c r="H17" s="45" t="inlineStr">
        <is>
          <t>Fairbanks chiude il buco notturno: buco massimo 8,8 h per satellite, 7,0 h per la costellazione</t>
        </is>
      </c>
      <c r="I17" s="45" t="inlineStr">
        <is>
          <t>Link budget, latenza</t>
        </is>
      </c>
      <c r="J17" s="45" t="inlineStr">
        <is>
          <t>MR-02</t>
        </is>
      </c>
      <c r="K17" s="45" t="n"/>
      <c r="L17" s="45" t="inlineStr">
        <is>
          <t>Approvata</t>
        </is>
      </c>
      <c r="M17" s="45" t="n"/>
      <c r="N17" s="45" t="inlineStr">
        <is>
          <t>Report A1-A1bis Parte 2</t>
        </is>
      </c>
      <c r="O17" s="45" t="n"/>
    </row>
    <row r="18" ht="23.25" customHeight="1" s="26">
      <c r="A18" s="45" t="inlineStr">
        <is>
          <t>D-017</t>
        </is>
      </c>
      <c r="B18" s="46" t="n">
        <v>46299</v>
      </c>
      <c r="C18" s="45" t="inlineStr">
        <is>
          <t>A1</t>
        </is>
      </c>
      <c r="D18" s="45" t="inlineStr">
        <is>
          <t>Entrambi</t>
        </is>
      </c>
      <c r="E18" s="45" t="inlineStr">
        <is>
          <t>Missione</t>
        </is>
      </c>
      <c r="F18" s="45" t="inlineStr">
        <is>
          <t>Nuova formulazione di MR-02 (48 h nel 90% delle richieste; di giorno ammesso fino a 45°)</t>
        </is>
      </c>
      <c r="G18" s="45" t="inlineStr">
        <is>
          <t>48 h nel 90% solo a 30°</t>
        </is>
      </c>
      <c r="H18" s="45" t="inlineStr">
        <is>
          <t>Solo diurno a 30° si arriva all'89,6–93,3%; a 45° al 100%</t>
        </is>
      </c>
      <c r="I18" s="45" t="inlineStr">
        <is>
          <t>GNC, ottica</t>
        </is>
      </c>
      <c r="J18" s="45" t="inlineStr">
        <is>
          <t>MR-02</t>
        </is>
      </c>
      <c r="K18" s="45" t="n"/>
      <c r="L18" s="45" t="inlineStr">
        <is>
          <t>Approvata</t>
        </is>
      </c>
      <c r="M18" s="45" t="n"/>
      <c r="N18" s="45" t="inlineStr">
        <is>
          <t>Report A1-A1bis Parte 2</t>
        </is>
      </c>
      <c r="O18" s="45" t="n"/>
    </row>
    <row r="19" ht="23.25" customHeight="1" s="26">
      <c r="A19" s="45" t="inlineStr">
        <is>
          <t>D-018</t>
        </is>
      </c>
      <c r="B19" s="46" t="n">
        <v>46299</v>
      </c>
      <c r="C19" s="45" t="inlineStr">
        <is>
          <t>A1-bis</t>
        </is>
      </c>
      <c r="D19" s="45" t="inlineStr">
        <is>
          <t>Entrambi</t>
        </is>
      </c>
      <c r="E19" s="45" t="inlineStr">
        <is>
          <t>Lancio</t>
        </is>
      </c>
      <c r="F19" s="45" t="inlineStr">
        <is>
          <t>Rilascio dal lanciatore (o rimorchiatore) già sul piano SSO a 96,8°, LTDN ~10:30, a ~360 km</t>
        </is>
      </c>
      <c r="G19" s="45" t="inlineStr">
        <is>
          <t>Rilascio a 500 km con discesa impulsiva (111,9 m/s): resta piano B</t>
        </is>
      </c>
      <c r="H19" s="45" t="inlineStr">
        <is>
          <t>Nessun ΔV per il piano; la discesa da 360 km costa solo ~28 m/s</t>
        </is>
      </c>
      <c r="I19" s="45" t="inlineStr">
        <is>
          <t>Propulsione, programma</t>
        </is>
      </c>
      <c r="J19" s="45" t="inlineStr">
        <is>
          <t>LR-01</t>
        </is>
      </c>
      <c r="K19" s="45" t="inlineStr">
        <is>
          <t>R-11</t>
        </is>
      </c>
      <c r="L19" s="45" t="inlineStr">
        <is>
          <t>Approvata</t>
        </is>
      </c>
      <c r="M19" s="45" t="n"/>
      <c r="N19" s="45" t="inlineStr">
        <is>
          <t>Report A1-A1bis Parte 3</t>
        </is>
      </c>
      <c r="O19" s="45" t="inlineStr">
        <is>
          <t>Tolleranze di lancio da definire</t>
        </is>
      </c>
    </row>
    <row r="20" ht="34.5" customHeight="1" s="26">
      <c r="A20" s="45" t="inlineStr">
        <is>
          <t>D-019</t>
        </is>
      </c>
      <c r="B20" s="46" t="n">
        <v>46299</v>
      </c>
      <c r="C20" s="45" t="inlineStr">
        <is>
          <t>A1-bis</t>
        </is>
      </c>
      <c r="D20" s="45" t="inlineStr">
        <is>
          <t>Entrambi</t>
        </is>
      </c>
      <c r="E20" s="45" t="inlineStr">
        <is>
          <t>Orbita</t>
        </is>
      </c>
      <c r="F20" s="45" t="inlineStr">
        <is>
          <t>Phasing con discese scaglionate, senza manovre dedicate: ritardi B 1,37 g, C 2,74 g, D 4,10 g</t>
        </is>
      </c>
      <c r="G20" s="45" t="inlineStr">
        <is>
          <t>Manovre di phasing dedicate</t>
        </is>
      </c>
      <c r="H20" s="45" t="inlineStr">
        <is>
          <t>Ogni giorno di ritardo vale ~66° di distanza; costellazione completa in ~42 giorni con 2 m/s di ritocco</t>
        </is>
      </c>
      <c r="I20" s="45" t="inlineStr">
        <is>
          <t>Operazioni di commissioning</t>
        </is>
      </c>
      <c r="J20" s="45" t="inlineStr">
        <is>
          <t>MR-11</t>
        </is>
      </c>
      <c r="K20" s="45" t="n"/>
      <c r="L20" s="45" t="inlineStr">
        <is>
          <t>Approvata</t>
        </is>
      </c>
      <c r="M20" s="45" t="n"/>
      <c r="N20" s="45" t="inlineStr">
        <is>
          <t>Report A1-A1bis Parte 3</t>
        </is>
      </c>
      <c r="O20" s="45" t="inlineStr">
        <is>
          <t>Distanza stabile entro ±0,2° in mantenimento</t>
        </is>
      </c>
    </row>
    <row r="21" ht="23.25" customHeight="1" s="26">
      <c r="A21" s="45" t="inlineStr">
        <is>
          <t>D-020</t>
        </is>
      </c>
      <c r="B21" s="46" t="n">
        <v>46301</v>
      </c>
      <c r="C21" s="45" t="inlineStr">
        <is>
          <t>A1-bis</t>
        </is>
      </c>
      <c r="D21" s="45" t="inlineStr">
        <is>
          <t>Entrambi</t>
        </is>
      </c>
      <c r="E21" s="45" t="inlineStr">
        <is>
          <t>Missione</t>
        </is>
      </c>
      <c r="F21" s="45" t="inlineStr">
        <is>
          <t>Durata di progetto 2 anni con attività solare media (F10.7 = 129); caso alto solo come sensibilità</t>
        </is>
      </c>
      <c r="G21" s="45" t="inlineStr">
        <is>
          <t>Caso alto F10.7 = 181 come riferimento (464 m/s)</t>
        </is>
      </c>
      <c r="H21" s="45" t="inlineStr">
        <is>
          <t>Caso medio coerente con EarthNext (~6 mesi di discesa naturale)</t>
        </is>
      </c>
      <c r="I21" s="45" t="inlineStr">
        <is>
          <t>ΔV, massa</t>
        </is>
      </c>
      <c r="J21" s="45" t="inlineStr">
        <is>
          <t>MR-12</t>
        </is>
      </c>
      <c r="K21" s="45" t="inlineStr">
        <is>
          <t>R-12</t>
        </is>
      </c>
      <c r="L21" s="45" t="inlineStr">
        <is>
          <t>Approvata</t>
        </is>
      </c>
      <c r="M21" s="45" t="n"/>
      <c r="N21" s="45" t="inlineStr">
        <is>
          <t>Report A1-A1bis Parte 3</t>
        </is>
      </c>
      <c r="O21" s="45" t="n"/>
    </row>
    <row r="22" ht="23.25" customHeight="1" s="26">
      <c r="A22" s="45" t="inlineStr">
        <is>
          <t>D-021</t>
        </is>
      </c>
      <c r="B22" s="46" t="n">
        <v>46301</v>
      </c>
      <c r="C22" s="45" t="inlineStr">
        <is>
          <t>A1-bis</t>
        </is>
      </c>
      <c r="D22" s="45" t="inlineStr">
        <is>
          <t>Entrambi</t>
        </is>
      </c>
      <c r="E22" s="45" t="inlineStr">
        <is>
          <t>Propulsione</t>
        </is>
      </c>
      <c r="F22" s="45" t="inlineStr">
        <is>
          <t>Discesa 360 → 302 km con motore + drag, motore acceso il 50% del tempo</t>
        </is>
      </c>
      <c r="G22" s="45" t="inlineStr">
        <is>
          <t>Discesa solo con il drag (4–10 mesi)</t>
        </is>
      </c>
      <c r="H22" s="45" t="inlineStr">
        <is>
          <t>Con il motore la discesa dura ~5 settimane</t>
        </is>
      </c>
      <c r="I22" s="45" t="inlineStr">
        <is>
          <t>Potenza, commissioning</t>
        </is>
      </c>
      <c r="J22" s="45" t="n"/>
      <c r="K22" s="45" t="n"/>
      <c r="L22" s="45" t="inlineStr">
        <is>
          <t>Approvata</t>
        </is>
      </c>
      <c r="M22" s="45" t="n"/>
      <c r="N22" s="45" t="inlineStr">
        <is>
          <t>Report A1-A1bis Parte 3</t>
        </is>
      </c>
      <c r="O22" s="45" t="n"/>
    </row>
    <row r="23" ht="34.5" customHeight="1" s="26">
      <c r="A23" s="45" t="inlineStr">
        <is>
          <t>D-022</t>
        </is>
      </c>
      <c r="B23" s="46" t="n">
        <v>46301</v>
      </c>
      <c r="C23" s="45" t="inlineStr">
        <is>
          <t>A1-bis</t>
        </is>
      </c>
      <c r="D23" s="45" t="inlineStr">
        <is>
          <t>Entrambi</t>
        </is>
      </c>
      <c r="E23" s="45" t="inlineStr">
        <is>
          <t>Propulsione</t>
        </is>
      </c>
      <c r="F23" s="45" t="inlineStr">
        <is>
          <t>Budget ΔV: 269 m/s per satellite (~1,5 kg di iodio) = 28 discesa + 2 phasing + 194 mantenimento + 45 margine 20%</t>
        </is>
      </c>
      <c r="G23" s="45" t="inlineStr">
        <is>
          <t>464 m/s (caso solare alto)</t>
        </is>
      </c>
      <c r="H23" s="45" t="inlineStr">
        <is>
          <t>Missione 2 anni, F10.7 = 129; in linea con EarthNext (&gt; 275 m/s in 3 anni)</t>
        </is>
      </c>
      <c r="I23" s="45" t="inlineStr">
        <is>
          <t>Serbatoio, massa (A5)</t>
        </is>
      </c>
      <c r="J23" s="45" t="inlineStr">
        <is>
          <t>DR-06, DR-07</t>
        </is>
      </c>
      <c r="K23" s="45" t="inlineStr">
        <is>
          <t>R-12, R-13</t>
        </is>
      </c>
      <c r="L23" s="45" t="inlineStr">
        <is>
          <t>Approvata</t>
        </is>
      </c>
      <c r="M23" s="45" t="n"/>
      <c r="N23" s="45" t="inlineStr">
        <is>
          <t>Report A1-A1bis Parte 3</t>
        </is>
      </c>
      <c r="O23" s="45" t="n"/>
    </row>
    <row r="24" ht="23.25" customHeight="1" s="26">
      <c r="A24" s="45" t="inlineStr">
        <is>
          <t>D-023</t>
        </is>
      </c>
      <c r="B24" s="46" t="n">
        <v>46301</v>
      </c>
      <c r="C24" s="45" t="inlineStr">
        <is>
          <t>A1-bis</t>
        </is>
      </c>
      <c r="D24" s="45" t="inlineStr">
        <is>
          <t>Entrambi</t>
        </is>
      </c>
      <c r="E24" s="45" t="inlineStr">
        <is>
          <t>Propulsione</t>
        </is>
      </c>
      <c r="F24" s="45" t="inlineStr">
        <is>
          <t>Nessun ΔV allocato per il rientro</t>
        </is>
      </c>
      <c r="G24" s="45" t="inlineStr">
        <is>
          <t>Manovra di deorbit</t>
        </is>
      </c>
      <c r="H24" s="45" t="inlineStr">
        <is>
          <t>Da 302 km, a motore spento, il satellite rientra da solo in pochi mesi</t>
        </is>
      </c>
      <c r="I24" s="45" t="n"/>
      <c r="J24" s="45" t="inlineStr">
        <is>
          <t>MR-14</t>
        </is>
      </c>
      <c r="K24" s="45" t="n"/>
      <c r="L24" s="45" t="inlineStr">
        <is>
          <t>Approvata</t>
        </is>
      </c>
      <c r="M24" s="45" t="n"/>
      <c r="N24" s="45" t="inlineStr">
        <is>
          <t>Report A1-A1bis Parte 3</t>
        </is>
      </c>
      <c r="O24" s="45" t="n"/>
    </row>
    <row r="25" ht="34.5" customHeight="1" s="26">
      <c r="A25" s="45" t="inlineStr">
        <is>
          <t>D-024</t>
        </is>
      </c>
      <c r="B25" s="46" t="n">
        <v>46305</v>
      </c>
      <c r="C25" s="45" t="inlineStr">
        <is>
          <t>A2</t>
        </is>
      </c>
      <c r="D25" s="45" t="inlineStr">
        <is>
          <t>Entrambi</t>
        </is>
      </c>
      <c r="E25" s="45" t="inlineStr">
        <is>
          <t>Payload</t>
        </is>
      </c>
      <c r="F25" s="45" t="inlineStr">
        <is>
          <t>PAN a 1,5 m a nadir: focale 0,70 m, F/5,8, Q = 0,92, strisciata 9,7 km (CMOS 6464 × 4852 px da 3,45 µm)</t>
        </is>
      </c>
      <c r="G25" s="45" t="inlineStr">
        <is>
          <t>GSD 1,0 m (F/8,7); 2,0 m (F/4,3); 2,5 m (aliasing)</t>
        </is>
      </c>
      <c r="H25" s="45" t="inlineStr">
        <is>
          <t>Pixel poco più piccolo del limite di diffrazione (1,7 m): ottica e sensore bilanciati</t>
        </is>
      </c>
      <c r="I25" s="45" t="inlineStr">
        <is>
          <t>Struttura, termico, dati</t>
        </is>
      </c>
      <c r="J25" s="45" t="inlineStr">
        <is>
          <t>MR-03, DR-01, DR-02, DR-03</t>
        </is>
      </c>
      <c r="K25" s="45" t="inlineStr">
        <is>
          <t>R-18</t>
        </is>
      </c>
      <c r="L25" s="45" t="inlineStr">
        <is>
          <t>Approvata</t>
        </is>
      </c>
      <c r="M25" s="45" t="n"/>
      <c r="N25" s="45" t="inlineStr">
        <is>
          <t>Report A2</t>
        </is>
      </c>
      <c r="O25" s="45" t="n"/>
    </row>
    <row r="26" ht="34.5" customHeight="1" s="26">
      <c r="A26" s="45" t="inlineStr">
        <is>
          <t>D-025</t>
        </is>
      </c>
      <c r="B26" s="46" t="n">
        <v>46305</v>
      </c>
      <c r="C26" s="45" t="inlineStr">
        <is>
          <t>A2</t>
        </is>
      </c>
      <c r="D26" s="45" t="inlineStr">
        <is>
          <t>Entrambi</t>
        </is>
      </c>
      <c r="E26" s="45" t="inlineStr">
        <is>
          <t>Payload</t>
        </is>
      </c>
      <c r="F26" s="45" t="inlineStr">
        <is>
          <t>RGB-NIR (B, G, R, NIR) a 3,0 m con binning 2×2 e filtri a strisce sullo stesso sensore; pansharpening a 1,5 m</t>
        </is>
      </c>
      <c r="G26" s="45" t="inlineStr">
        <is>
          <t>Colore a 1,5 m (4× i dati); colore a 6,0 m</t>
        </is>
      </c>
      <c r="H26" s="45" t="inlineStr">
        <is>
          <t>Il colore serve per aree estese (acqua, bruciato, frane): 3 m bastano; dati pari al PAN</t>
        </is>
      </c>
      <c r="I26" s="45" t="inlineStr">
        <is>
          <t>ADCS (riallineamento bande), dati</t>
        </is>
      </c>
      <c r="J26" s="45" t="inlineStr">
        <is>
          <t>MR-03, DR-05</t>
        </is>
      </c>
      <c r="K26" s="45" t="inlineStr">
        <is>
          <t>R-15</t>
        </is>
      </c>
      <c r="L26" s="45" t="inlineStr">
        <is>
          <t>Approvata</t>
        </is>
      </c>
      <c r="M26" s="45" t="n"/>
      <c r="N26" s="45" t="inlineStr">
        <is>
          <t>Report A2</t>
        </is>
      </c>
      <c r="O26" s="45" t="n"/>
    </row>
    <row r="27" ht="23.25" customHeight="1" s="26">
      <c r="A27" s="45" t="inlineStr">
        <is>
          <t>D-026</t>
        </is>
      </c>
      <c r="B27" s="46" t="n">
        <v>46317</v>
      </c>
      <c r="C27" s="45" t="inlineStr">
        <is>
          <t>A2</t>
        </is>
      </c>
      <c r="D27" s="45" t="inlineStr">
        <is>
          <t>Entrambi</t>
        </is>
      </c>
      <c r="E27" s="45" t="inlineStr">
        <is>
          <t>Payload</t>
        </is>
      </c>
      <c r="F27" s="45" t="inlineStr">
        <is>
          <t>Notturno: sCMOS 2048 × 2048 px da 11 µm, GSD 4,8 m, strisciata 9,8 km (9,6 m con binning 2×2)</t>
        </is>
      </c>
      <c r="G27" s="45" t="inlineStr">
        <is>
          <t>Pixel 6,5 µm (2,8 m, 1× luce); 4096 × 4096 da 9 µm (campo troppo ampio)</t>
        </is>
      </c>
      <c r="H27" s="45" t="inlineStr">
        <is>
          <t>Di notte il limite è la luce: 2,9× la luce del pixel da 6,5 µm; stessa strisciata del diurno</t>
        </is>
      </c>
      <c r="I27" s="45" t="inlineStr">
        <is>
          <t>A3, dati</t>
        </is>
      </c>
      <c r="J27" s="45" t="inlineStr">
        <is>
          <t>MR-04, DR-04</t>
        </is>
      </c>
      <c r="K27" s="45" t="inlineStr">
        <is>
          <t>R-16, R-17</t>
        </is>
      </c>
      <c r="L27" s="45" t="inlineStr">
        <is>
          <t>Approvata</t>
        </is>
      </c>
      <c r="M27" s="45" t="n"/>
      <c r="N27" s="45" t="inlineStr">
        <is>
          <t>Report A2</t>
        </is>
      </c>
      <c r="O27" s="45" t="inlineStr">
        <is>
          <t>Confermata in A3 (D-031): pixel da 11 µm definitivo</t>
        </is>
      </c>
    </row>
    <row r="28" ht="23.25" customHeight="1" s="26">
      <c r="A28" s="45" t="inlineStr">
        <is>
          <t>D-027</t>
        </is>
      </c>
      <c r="B28" s="46" t="n">
        <v>46317</v>
      </c>
      <c r="C28" s="45" t="inlineStr">
        <is>
          <t>A2</t>
        </is>
      </c>
      <c r="D28" s="45" t="inlineStr">
        <is>
          <t>Entrambi</t>
        </is>
      </c>
      <c r="E28" s="45" t="inlineStr">
        <is>
          <t>Payload</t>
        </is>
      </c>
      <c r="F28" s="45" t="inlineStr">
        <is>
          <t>Piano focale: sensore diurno e notturno affiancati lungo traccia, campo pieno ~3,9° (diagonale)</t>
        </is>
      </c>
      <c r="G28" s="45" t="inlineStr">
        <is>
          <t>Specchi aggiuntivi o parti mobili</t>
        </is>
      </c>
      <c r="H28" s="45" t="inlineStr">
        <is>
          <t>Campo normale per un TMA fuori asse; nessuna parte mobile</t>
        </is>
      </c>
      <c r="I28" s="45" t="inlineStr">
        <is>
          <t>Struttura del telescopio</t>
        </is>
      </c>
      <c r="J28" s="45" t="n"/>
      <c r="K28" s="45" t="inlineStr">
        <is>
          <t>R-01</t>
        </is>
      </c>
      <c r="L28" s="45" t="inlineStr">
        <is>
          <t>Approvata</t>
        </is>
      </c>
      <c r="M28" s="45" t="n"/>
      <c r="N28" s="45" t="inlineStr">
        <is>
          <t>Report A2</t>
        </is>
      </c>
      <c r="O28" s="45" t="n"/>
    </row>
    <row r="29" ht="34.5" customHeight="1" s="26">
      <c r="A29" s="45" t="inlineStr">
        <is>
          <t>D-028</t>
        </is>
      </c>
      <c r="B29" s="46" t="n">
        <v>46318</v>
      </c>
      <c r="C29" s="45" t="inlineStr">
        <is>
          <t>A3</t>
        </is>
      </c>
      <c r="D29" s="45" t="inlineStr">
        <is>
          <t>Entrambi</t>
        </is>
      </c>
      <c r="E29" s="45" t="inlineStr">
        <is>
          <t>Gestione</t>
        </is>
      </c>
      <c r="F29" s="45" t="inlineStr">
        <is>
          <t>Divisione del lavoro: Giuseppe su payload + AI + potenza/termico del payload; Giuliano su missione + GNC + TT&amp;C; budget, requisiti e A6 in comune</t>
        </is>
      </c>
      <c r="G29" s="45" t="inlineStr">
        <is>
          <t>Lavorare insieme sullo stesso passo</t>
        </is>
      </c>
      <c r="H29" s="45" t="inlineStr">
        <is>
          <t>Lavoro in parallelo sui passi rimasti della Fase A</t>
        </is>
      </c>
      <c r="I29" s="45" t="inlineStr">
        <is>
          <t>A3, A4, A5, A6</t>
        </is>
      </c>
      <c r="J29" s="45" t="n"/>
      <c r="K29" s="45" t="n"/>
      <c r="L29" s="45" t="inlineStr">
        <is>
          <t>Approvata</t>
        </is>
      </c>
      <c r="M29" s="45" t="n"/>
      <c r="N29" s="45" t="n"/>
      <c r="O29" s="45" t="n"/>
    </row>
    <row r="30" ht="23.25" customHeight="1" s="26">
      <c r="A30" s="45" t="inlineStr">
        <is>
          <t>D-029</t>
        </is>
      </c>
      <c r="B30" s="46" t="n">
        <v>46318</v>
      </c>
      <c r="C30" s="45" t="inlineStr">
        <is>
          <t>A3</t>
        </is>
      </c>
      <c r="D30" s="45" t="inlineStr">
        <is>
          <t>Giuseppe</t>
        </is>
      </c>
      <c r="E30" s="45" t="inlineStr">
        <is>
          <t>Payload</t>
        </is>
      </c>
      <c r="F30" s="45" t="inlineStr">
        <is>
          <t>Scena di progetto notturna: SNR ≥ 10 su quartiere da 20 nW/cm²/sr a 4,8 m (~100 e⁻, ~170 ms di luce)</t>
        </is>
      </c>
      <c r="G30" s="45" t="inlineStr">
        <is>
          <t>SNR 5 sul quartiere (granuloso); SNR 10 sul paese a 4,8 m (670 ms, deriva &lt; 0,0005°/s); SNR 10 su Napoli centro (paesi invisibili)</t>
        </is>
      </c>
      <c r="H30" s="45" t="inlineStr">
        <is>
          <t>Con SNR 10 si vedono strade e confine del blackout; il paese a 4,8 m chiede una stabilità fuori portata e la luna piena (~7 nW) è più luminosa del paese</t>
        </is>
      </c>
      <c r="I30" s="45" t="inlineStr">
        <is>
          <t>Esposizione, FMC, A5 dati</t>
        </is>
      </c>
      <c r="J30" s="45" t="inlineStr">
        <is>
          <t>MR-04, DR-09</t>
        </is>
      </c>
      <c r="K30" s="45" t="inlineStr">
        <is>
          <t>R-02, R-16, R-19, R-20</t>
        </is>
      </c>
      <c r="L30" s="45" t="inlineStr">
        <is>
          <t>Approvata</t>
        </is>
      </c>
      <c r="M30" s="45" t="n"/>
      <c r="N30" s="45" t="inlineStr">
        <is>
          <t>Report A3, Decisione 1</t>
        </is>
      </c>
      <c r="O30" s="45" t="inlineStr">
        <is>
          <t>Riguarda solo il payload</t>
        </is>
      </c>
    </row>
    <row r="31" ht="23.25" customHeight="1" s="26">
      <c r="A31" s="45" t="inlineStr">
        <is>
          <t>D-030</t>
        </is>
      </c>
      <c r="B31" s="46" t="n">
        <v>46318</v>
      </c>
      <c r="C31" s="45" t="inlineStr">
        <is>
          <t>A3</t>
        </is>
      </c>
      <c r="D31" s="45" t="inlineStr">
        <is>
          <t>Giuseppe</t>
        </is>
      </c>
      <c r="E31" s="45" t="inlineStr">
        <is>
          <t>Payload</t>
        </is>
      </c>
      <c r="F31" s="45" t="inlineStr">
        <is>
          <t>Shift-and-add: scatti da 20 ms presi durante la FMC, riallineati e sommati a bordo (10 scatti città = ~200 ms); a terra una sola immagine</t>
        </is>
      </c>
      <c r="G31" s="45" t="inlineStr">
        <is>
          <t>Scatto unico 170 ms (deriva &lt; 0,0018°/s, saturazione); ibrido 4 × 50 ms (deriva &lt; 0,006°/s)</t>
        </is>
      </c>
      <c r="H31" s="45" t="inlineStr">
        <is>
          <t>Stabilità 8 volte più facile (deriva &lt; 0,015°/s per scatto), scatti mossi scartabili, niente saturazione; costa ~15% di luce in più</t>
        </is>
      </c>
      <c r="I31" s="45" t="inlineStr">
        <is>
          <t>GNC (stabilità, durata FMC), scheda AI</t>
        </is>
      </c>
      <c r="J31" s="45" t="inlineStr">
        <is>
          <t>DR-04, DR-10, DR-11</t>
        </is>
      </c>
      <c r="K31" s="45" t="inlineStr">
        <is>
          <t>R-06, R-21</t>
        </is>
      </c>
      <c r="L31" s="45" t="inlineStr">
        <is>
          <t>Proposta</t>
        </is>
      </c>
      <c r="M31" s="45" t="n"/>
      <c r="N31" s="45" t="inlineStr">
        <is>
          <t>Report A3, Decisione 2</t>
        </is>
      </c>
      <c r="O31" s="45" t="inlineStr">
        <is>
          <t>Proposta: cambia i numeri dell'ADCS di Giuliano (deriva 0,015°/s, inseguimento 0,36 s)</t>
        </is>
      </c>
    </row>
    <row r="32" ht="23.25" customHeight="1" s="26">
      <c r="A32" s="45" t="inlineStr">
        <is>
          <t>D-031</t>
        </is>
      </c>
      <c r="B32" s="46" t="n">
        <v>46318</v>
      </c>
      <c r="C32" s="45" t="inlineStr">
        <is>
          <t>A3</t>
        </is>
      </c>
      <c r="D32" s="45" t="inlineStr">
        <is>
          <t>Giuseppe</t>
        </is>
      </c>
      <c r="E32" s="45" t="inlineStr">
        <is>
          <t>Payload</t>
        </is>
      </c>
      <c r="F32" s="45" t="inlineStr">
        <is>
          <t>Binning adattivo a bordo: città 1×1 (4,8 m, 10 scatti); paesi 2×2 (9,6 m, 15 scatti = 300 ms, SNR 10); 3×3 (14,4 m) di riserva. Pixel 11 µm confermato</t>
        </is>
      </c>
      <c r="G32" s="45" t="inlineStr">
        <is>
          <t>Paesi in 3×3 come modalità nominale (solo acceso/spento); pixel 6,5 µm con 2×2 (strisciata 5,8 km, 4× dati letti)</t>
        </is>
      </c>
      <c r="H32" s="45" t="inlineStr">
        <is>
          <t>Il 2×2 mostra quali vie del paese sono al buio; il 3×3 resta se in A5 scarico o stabilità ADCS risultano stretti</t>
        </is>
      </c>
      <c r="I32" s="45" t="inlineStr">
        <is>
          <t>D-026, GNC (durata FMC 300 ms), A5 dati (6,3 / 1,6 / 0,7 MB)</t>
        </is>
      </c>
      <c r="J32" s="45" t="inlineStr">
        <is>
          <t>MR-04, DR-09, DR-11</t>
        </is>
      </c>
      <c r="K32" s="45" t="inlineStr">
        <is>
          <t>R-02</t>
        </is>
      </c>
      <c r="L32" s="45" t="inlineStr">
        <is>
          <t>Proposta</t>
        </is>
      </c>
      <c r="M32" s="45" t="n"/>
      <c r="N32" s="45" t="inlineStr">
        <is>
          <t>Report A3, Decisione 3</t>
        </is>
      </c>
      <c r="O32" s="45" t="inlineStr">
        <is>
          <t>Proposta: l'inseguimento di 300 ms sui paesi va confermato da Giuliano</t>
        </is>
      </c>
    </row>
    <row r="33" ht="23.25" customHeight="1" s="26">
      <c r="A33" s="45" t="inlineStr">
        <is>
          <t>D-032</t>
        </is>
      </c>
      <c r="B33" s="46" t="n">
        <v>46318</v>
      </c>
      <c r="C33" s="45" t="inlineStr">
        <is>
          <t>A3</t>
        </is>
      </c>
      <c r="D33" s="45" t="inlineStr">
        <is>
          <t>Giuseppe</t>
        </is>
      </c>
      <c r="E33" s="45" t="inlineStr">
        <is>
          <t>Payload</t>
        </is>
      </c>
      <c r="F33" s="45" t="inlineStr">
        <is>
          <t>Diurno: TDI digitale, somma a bordo di 4 passaggi nella striscia PAN (~970 righe); sensore ≥ ~20 immagini/s; somma ~470 Mbit/s</t>
        </is>
      </c>
      <c r="G33" s="45" t="inlineStr">
        <is>
          <t>Scatto singolo (SNR inverno 15–25); somma di 9 passaggi (~50 fps, ~1,2 Gbit/s)</t>
        </is>
      </c>
      <c r="H33" s="45" t="inlineStr">
        <is>
          <t>Inverno, suolo medio: SNR 51 (obiettivo ~50) con velocità normale per il sensore; dati a terra invariati</t>
        </is>
      </c>
      <c r="I33" s="45" t="inlineStr">
        <is>
          <t>Scheda AI (potenza), sensore diurno (A5)</t>
        </is>
      </c>
      <c r="J33" s="45" t="inlineStr">
        <is>
          <t>DR-01, DR-12, DR-13</t>
        </is>
      </c>
      <c r="K33" s="45" t="inlineStr">
        <is>
          <t>R-22</t>
        </is>
      </c>
      <c r="L33" s="45" t="inlineStr">
        <is>
          <t>Approvata</t>
        </is>
      </c>
      <c r="M33" s="45" t="n"/>
      <c r="N33" s="45" t="inlineStr">
        <is>
          <t>Report A3, Decisione 4</t>
        </is>
      </c>
      <c r="O33" s="45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Proposta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Proposta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</t>
        </is>
      </c>
    </row>
    <row r="36" ht="15" customHeight="1" s="26">
      <c r="A36" s="45" t="n"/>
      <c r="B36" s="46" t="n"/>
      <c r="C36" s="45" t="n"/>
      <c r="D36" s="45" t="n"/>
      <c r="E36" s="45" t="n"/>
      <c r="F36" s="45" t="n"/>
      <c r="G36" s="45" t="n"/>
      <c r="H36" s="45" t="n"/>
      <c r="I36" s="45" t="n"/>
      <c r="J36" s="45" t="n"/>
      <c r="K36" s="45" t="n"/>
      <c r="L36" s="45" t="n"/>
      <c r="M36" s="45" t="n"/>
      <c r="N36" s="45" t="n"/>
      <c r="O36" s="45" t="n"/>
    </row>
    <row r="37" ht="15" customHeight="1" s="26">
      <c r="A37" s="45" t="n"/>
      <c r="B37" s="46" t="n"/>
      <c r="C37" s="45" t="n"/>
      <c r="D37" s="45" t="n"/>
      <c r="E37" s="45" t="n"/>
      <c r="F37" s="45" t="n"/>
      <c r="G37" s="45" t="n"/>
      <c r="H37" s="45" t="n"/>
      <c r="I37" s="45" t="n"/>
      <c r="J37" s="45" t="n"/>
      <c r="K37" s="45" t="n"/>
      <c r="L37" s="45" t="n"/>
      <c r="M37" s="45" t="n"/>
      <c r="N37" s="45" t="n"/>
      <c r="O37" s="45" t="n"/>
    </row>
    <row r="38" ht="15" customHeight="1" s="26">
      <c r="A38" s="45" t="n"/>
      <c r="B38" s="46" t="n"/>
      <c r="C38" s="45" t="n"/>
      <c r="D38" s="45" t="n"/>
      <c r="E38" s="45" t="n"/>
      <c r="F38" s="45" t="n"/>
      <c r="G38" s="45" t="n"/>
      <c r="H38" s="45" t="n"/>
      <c r="I38" s="45" t="n"/>
      <c r="J38" s="45" t="n"/>
      <c r="K38" s="45" t="n"/>
      <c r="L38" s="45" t="n"/>
      <c r="M38" s="45" t="n"/>
      <c r="N38" s="45" t="n"/>
      <c r="O38" s="45" t="n"/>
    </row>
    <row r="39" ht="15" customHeight="1" s="26">
      <c r="A39" s="45" t="n"/>
      <c r="B39" s="46" t="n"/>
      <c r="C39" s="45" t="n"/>
      <c r="D39" s="45" t="n"/>
      <c r="E39" s="45" t="n"/>
      <c r="F39" s="45" t="n"/>
      <c r="G39" s="45" t="n"/>
      <c r="H39" s="45" t="n"/>
      <c r="I39" s="45" t="n"/>
      <c r="J39" s="45" t="n"/>
      <c r="K39" s="45" t="n"/>
      <c r="L39" s="45" t="n"/>
      <c r="M39" s="45" t="n"/>
      <c r="N39" s="45" t="n"/>
      <c r="O39" s="45" t="n"/>
    </row>
    <row r="40" ht="15" customHeight="1" s="26">
      <c r="A40" s="45" t="n"/>
      <c r="B40" s="46" t="n"/>
      <c r="C40" s="45" t="n"/>
      <c r="D40" s="45" t="n"/>
      <c r="E40" s="45" t="n"/>
      <c r="F40" s="45" t="n"/>
      <c r="G40" s="45" t="n"/>
      <c r="H40" s="45" t="n"/>
      <c r="I40" s="45" t="n"/>
      <c r="J40" s="45" t="n"/>
      <c r="K40" s="45" t="n"/>
      <c r="L40" s="45" t="n"/>
      <c r="M40" s="45" t="n"/>
      <c r="N40" s="45" t="n"/>
      <c r="O40" s="45" t="n"/>
    </row>
    <row r="41" ht="15" customHeight="1" s="26">
      <c r="A41" s="45" t="n"/>
      <c r="B41" s="46" t="n"/>
      <c r="C41" s="45" t="n"/>
      <c r="D41" s="45" t="n"/>
      <c r="E41" s="45" t="n"/>
      <c r="F41" s="45" t="n"/>
      <c r="G41" s="45" t="n"/>
      <c r="H41" s="45" t="n"/>
      <c r="I41" s="45" t="n"/>
      <c r="J41" s="45" t="n"/>
      <c r="K41" s="45" t="n"/>
      <c r="L41" s="45" t="n"/>
      <c r="M41" s="45" t="n"/>
      <c r="N41" s="45" t="n"/>
      <c r="O41" s="45" t="n"/>
    </row>
    <row r="42" ht="15" customHeight="1" s="26">
      <c r="A42" s="45" t="n"/>
      <c r="B42" s="46" t="n"/>
      <c r="C42" s="45" t="n"/>
      <c r="D42" s="45" t="n"/>
      <c r="E42" s="45" t="n"/>
      <c r="F42" s="45" t="n"/>
      <c r="G42" s="45" t="n"/>
      <c r="H42" s="45" t="n"/>
      <c r="I42" s="45" t="n"/>
      <c r="J42" s="45" t="n"/>
      <c r="K42" s="45" t="n"/>
      <c r="L42" s="45" t="n"/>
      <c r="M42" s="45" t="n"/>
      <c r="N42" s="45" t="n"/>
      <c r="O42" s="45" t="n"/>
    </row>
    <row r="43" ht="15" customHeight="1" s="26">
      <c r="A43" s="45" t="n"/>
      <c r="B43" s="46" t="n"/>
      <c r="C43" s="45" t="n"/>
      <c r="D43" s="45" t="n"/>
      <c r="E43" s="45" t="n"/>
      <c r="F43" s="45" t="n"/>
      <c r="G43" s="45" t="n"/>
      <c r="H43" s="45" t="n"/>
      <c r="I43" s="45" t="n"/>
      <c r="J43" s="45" t="n"/>
      <c r="K43" s="45" t="n"/>
      <c r="L43" s="45" t="n"/>
      <c r="M43" s="45" t="n"/>
      <c r="N43" s="45" t="n"/>
      <c r="O43" s="45" t="n"/>
    </row>
    <row r="44" ht="15" customHeight="1" s="26">
      <c r="A44" s="45" t="n"/>
      <c r="B44" s="46" t="n"/>
      <c r="C44" s="45" t="n"/>
      <c r="D44" s="45" t="n"/>
      <c r="E44" s="45" t="n"/>
      <c r="F44" s="45" t="n"/>
      <c r="G44" s="45" t="n"/>
      <c r="H44" s="45" t="n"/>
      <c r="I44" s="45" t="n"/>
      <c r="J44" s="45" t="n"/>
      <c r="K44" s="45" t="n"/>
      <c r="L44" s="45" t="n"/>
      <c r="M44" s="45" t="n"/>
      <c r="N44" s="45" t="n"/>
      <c r="O44" s="45" t="n"/>
    </row>
    <row r="45" ht="15" customHeight="1" s="26">
      <c r="A45" s="45" t="n"/>
      <c r="B45" s="46" t="n"/>
      <c r="C45" s="45" t="n"/>
      <c r="D45" s="45" t="n"/>
      <c r="E45" s="45" t="n"/>
      <c r="F45" s="45" t="n"/>
      <c r="G45" s="45" t="n"/>
      <c r="H45" s="45" t="n"/>
      <c r="I45" s="45" t="n"/>
      <c r="J45" s="45" t="n"/>
      <c r="K45" s="45" t="n"/>
      <c r="L45" s="45" t="n"/>
      <c r="M45" s="45" t="n"/>
      <c r="N45" s="45" t="n"/>
      <c r="O45" s="45" t="n"/>
    </row>
    <row r="46" ht="15" customHeight="1" s="26">
      <c r="A46" s="45" t="n"/>
      <c r="B46" s="46" t="n"/>
      <c r="C46" s="45" t="n"/>
      <c r="D46" s="45" t="n"/>
      <c r="E46" s="45" t="n"/>
      <c r="F46" s="45" t="n"/>
      <c r="G46" s="45" t="n"/>
      <c r="H46" s="45" t="n"/>
      <c r="I46" s="45" t="n"/>
      <c r="J46" s="45" t="n"/>
      <c r="K46" s="45" t="n"/>
      <c r="L46" s="45" t="n"/>
      <c r="M46" s="45" t="n"/>
      <c r="N46" s="45" t="n"/>
      <c r="O46" s="45" t="n"/>
    </row>
    <row r="47" ht="15" customHeight="1" s="26">
      <c r="A47" s="45" t="n"/>
      <c r="B47" s="46" t="n"/>
      <c r="C47" s="45" t="n"/>
      <c r="D47" s="45" t="n"/>
      <c r="E47" s="45" t="n"/>
      <c r="F47" s="45" t="n"/>
      <c r="G47" s="45" t="n"/>
      <c r="H47" s="45" t="n"/>
      <c r="I47" s="45" t="n"/>
      <c r="J47" s="45" t="n"/>
      <c r="K47" s="45" t="n"/>
      <c r="L47" s="45" t="n"/>
      <c r="M47" s="45" t="n"/>
      <c r="N47" s="45" t="n"/>
      <c r="O47" s="45" t="n"/>
    </row>
    <row r="48" ht="15" customHeight="1" s="26">
      <c r="A48" s="45" t="n"/>
      <c r="B48" s="46" t="n"/>
      <c r="C48" s="45" t="n"/>
      <c r="D48" s="45" t="n"/>
      <c r="E48" s="45" t="n"/>
      <c r="F48" s="45" t="n"/>
      <c r="G48" s="45" t="n"/>
      <c r="H48" s="45" t="n"/>
      <c r="I48" s="45" t="n"/>
      <c r="J48" s="45" t="n"/>
      <c r="K48" s="45" t="n"/>
      <c r="L48" s="45" t="n"/>
      <c r="M48" s="45" t="n"/>
      <c r="N48" s="45" t="n"/>
      <c r="O48" s="45" t="n"/>
    </row>
    <row r="49" ht="15" customHeight="1" s="26">
      <c r="A49" s="45" t="n"/>
      <c r="B49" s="46" t="n"/>
      <c r="C49" s="45" t="n"/>
      <c r="D49" s="45" t="n"/>
      <c r="E49" s="45" t="n"/>
      <c r="F49" s="45" t="n"/>
      <c r="G49" s="45" t="n"/>
      <c r="H49" s="45" t="n"/>
      <c r="I49" s="45" t="n"/>
      <c r="J49" s="45" t="n"/>
      <c r="K49" s="45" t="n"/>
      <c r="L49" s="45" t="n"/>
      <c r="M49" s="45" t="n"/>
      <c r="N49" s="45" t="n"/>
      <c r="O49" s="45" t="n"/>
    </row>
    <row r="50" ht="15" customHeight="1" s="26">
      <c r="A50" s="45" t="n"/>
      <c r="B50" s="46" t="n"/>
      <c r="C50" s="45" t="n"/>
      <c r="D50" s="45" t="n"/>
      <c r="E50" s="45" t="n"/>
      <c r="F50" s="45" t="n"/>
      <c r="G50" s="45" t="n"/>
      <c r="H50" s="45" t="n"/>
      <c r="I50" s="45" t="n"/>
      <c r="J50" s="45" t="n"/>
      <c r="K50" s="45" t="n"/>
      <c r="L50" s="45" t="n"/>
      <c r="M50" s="45" t="n"/>
      <c r="N50" s="45" t="n"/>
      <c r="O50" s="45" t="n"/>
    </row>
    <row r="51" ht="15" customHeight="1" s="26">
      <c r="A51" s="45" t="n"/>
      <c r="B51" s="46" t="n"/>
      <c r="C51" s="45" t="n"/>
      <c r="D51" s="45" t="n"/>
      <c r="E51" s="45" t="n"/>
      <c r="F51" s="45" t="n"/>
      <c r="G51" s="45" t="n"/>
      <c r="H51" s="45" t="n"/>
      <c r="I51" s="45" t="n"/>
      <c r="J51" s="45" t="n"/>
      <c r="K51" s="45" t="n"/>
      <c r="L51" s="45" t="n"/>
      <c r="M51" s="45" t="n"/>
      <c r="N51" s="45" t="n"/>
      <c r="O51" s="45" t="n"/>
    </row>
    <row r="52" ht="15" customHeight="1" s="26">
      <c r="A52" s="45" t="n"/>
      <c r="B52" s="46" t="n"/>
      <c r="C52" s="45" t="n"/>
      <c r="D52" s="45" t="n"/>
      <c r="E52" s="45" t="n"/>
      <c r="F52" s="45" t="n"/>
      <c r="G52" s="45" t="n"/>
      <c r="H52" s="45" t="n"/>
      <c r="I52" s="45" t="n"/>
      <c r="J52" s="45" t="n"/>
      <c r="K52" s="45" t="n"/>
      <c r="L52" s="45" t="n"/>
      <c r="M52" s="45" t="n"/>
      <c r="N52" s="45" t="n"/>
      <c r="O52" s="45" t="n"/>
    </row>
  </sheetData>
  <autoFilter ref="A1:O52"/>
  <conditionalFormatting sqref="A2:O52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52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52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52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52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5" t="inlineStr">
        <is>
          <t>MR-01</t>
        </is>
      </c>
      <c r="B2" s="45" t="inlineStr">
        <is>
          <t>Missione</t>
        </is>
      </c>
      <c r="C2" s="45" t="inlineStr">
        <is>
          <t>PULSE deve poter osservare qualsiasi punto del territorio italiano.</t>
        </is>
      </c>
      <c r="D2" s="45" t="inlineStr">
        <is>
          <t>5°E–20°E, 35°N–48°N</t>
        </is>
      </c>
      <c r="E2" s="45" t="inlineStr">
        <is>
          <t>Analisi (GMAT)</t>
        </is>
      </c>
      <c r="F2" s="45" t="inlineStr">
        <is>
          <t>Approvato</t>
        </is>
      </c>
      <c r="G2" s="45" t="inlineStr">
        <is>
          <t>D-003</t>
        </is>
      </c>
      <c r="H2" s="45" t="inlineStr">
        <is>
          <t>Giuliano</t>
        </is>
      </c>
      <c r="I2" s="45" t="inlineStr">
        <is>
          <t>Verificato sui 5 bersagli in A1</t>
        </is>
      </c>
    </row>
    <row r="3" ht="45.75" customHeight="1" s="26">
      <c r="A3" s="45" t="inlineStr">
        <is>
          <t>MR-02</t>
        </is>
      </c>
      <c r="B3" s="45" t="inlineStr">
        <is>
          <t>Missione</t>
        </is>
      </c>
      <c r="C3" s="45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5" t="inlineStr">
        <is>
          <t>48 h, 90%</t>
        </is>
      </c>
      <c r="E3" s="45" t="inlineStr">
        <is>
          <t>Analisi + simulazione</t>
        </is>
      </c>
      <c r="F3" s="45" t="inlineStr">
        <is>
          <t>Approvato</t>
        </is>
      </c>
      <c r="G3" s="45" t="inlineStr">
        <is>
          <t>D-017 (A1)</t>
        </is>
      </c>
      <c r="H3" s="45" t="inlineStr">
        <is>
          <t>Giuliano</t>
        </is>
      </c>
      <c r="I3" s="45" t="inlineStr">
        <is>
          <t>In A1: 100% a 30° giorno+notte</t>
        </is>
      </c>
    </row>
    <row r="4" ht="23.25" customHeight="1" s="26">
      <c r="A4" s="45" t="inlineStr">
        <is>
          <t>MR-03</t>
        </is>
      </c>
      <c r="B4" s="45" t="inlineStr">
        <is>
          <t>Missione</t>
        </is>
      </c>
      <c r="C4" s="45" t="inlineStr">
        <is>
          <t>Di giorno, a nadir, PULSE deve raggiungere una risoluzione effettiva ≤ 2 m nel pancromatico e ≤ 5 m nel multispettrale (RGB-NIR).</t>
        </is>
      </c>
      <c r="D4" s="45" t="inlineStr">
        <is>
          <t>≤ 2 m PAN, ≤ 5 m MS</t>
        </is>
      </c>
      <c r="E4" s="45" t="inlineStr">
        <is>
          <t>Analisi ottica, poi test</t>
        </is>
      </c>
      <c r="F4" s="45" t="inlineStr">
        <is>
          <t>Approvato</t>
        </is>
      </c>
      <c r="G4" s="45" t="inlineStr">
        <is>
          <t>D-011, D-024, D-025</t>
        </is>
      </c>
      <c r="H4" s="45" t="inlineStr">
        <is>
          <t>Giuseppe</t>
        </is>
      </c>
      <c r="I4" s="45" t="inlineStr">
        <is>
          <t>A2: GSD 1,5 m PAN, 3,0 m RGB-NIR</t>
        </is>
      </c>
    </row>
    <row r="5" ht="23.25" customHeight="1" s="26">
      <c r="A5" s="45" t="inlineStr">
        <is>
          <t>MR-04</t>
        </is>
      </c>
      <c r="B5" s="45" t="inlineStr">
        <is>
          <t>Missione</t>
        </is>
      </c>
      <c r="C5" s="45" t="inlineStr">
        <is>
          <t>Di notte PULSE deve raggiungere una risoluzione effettiva ≤ 15 m sulle aree illuminate e ≤ 5 m sugli incendi.</t>
        </is>
      </c>
      <c r="D5" s="45" t="inlineStr">
        <is>
          <t>≤ 15 m / ≤ 5 m</t>
        </is>
      </c>
      <c r="E5" s="45" t="inlineStr">
        <is>
          <t>Analisi radiometrica (SNR)</t>
        </is>
      </c>
      <c r="F5" s="45" t="inlineStr">
        <is>
          <t>TBC</t>
        </is>
      </c>
      <c r="G5" s="45" t="inlineStr">
        <is>
          <t>D-011, D-026, D-029, D-031</t>
        </is>
      </c>
      <c r="H5" s="45" t="inlineStr">
        <is>
          <t>Giuseppe</t>
        </is>
      </c>
      <c r="I5" s="45" t="inlineStr">
        <is>
          <t>A3: aree illuminate OK (quartieri 4,8 m e paesi 9,6 m con SNR 10). Incendi ≤ 5 m non ancora verificati: resta TBC</t>
        </is>
      </c>
    </row>
    <row r="6" ht="23.25" customHeight="1" s="26">
      <c r="A6" s="45" t="inlineStr">
        <is>
          <t>MR-05</t>
        </is>
      </c>
      <c r="B6" s="45" t="inlineStr">
        <is>
          <t>Missione</t>
        </is>
      </c>
      <c r="C6" s="45" t="inlineStr">
        <is>
          <t>PULSE deve garantire qualità nominale fino a 30° off-nadir e poter puntare fino a 45° in modalità degradata.</t>
        </is>
      </c>
      <c r="D6" s="45" t="inlineStr">
        <is>
          <t>30° / 45°</t>
        </is>
      </c>
      <c r="E6" s="45" t="inlineStr">
        <is>
          <t>Analisi + simulazione GNC</t>
        </is>
      </c>
      <c r="F6" s="45" t="inlineStr">
        <is>
          <t>Approvato</t>
        </is>
      </c>
      <c r="G6" s="45" t="inlineStr">
        <is>
          <t>D-006</t>
        </is>
      </c>
      <c r="H6" s="45" t="inlineStr">
        <is>
          <t>Giuliano</t>
        </is>
      </c>
      <c r="I6" s="45" t="n"/>
    </row>
    <row r="7" ht="23.25" customHeight="1" s="26">
      <c r="A7" s="45" t="inlineStr">
        <is>
          <t>MR-06</t>
        </is>
      </c>
      <c r="B7" s="45" t="inlineStr">
        <is>
          <t>Missione</t>
        </is>
      </c>
      <c r="C7" s="45" t="inlineStr">
        <is>
          <t>Di giorno PULSE deve rilevare ponti crollati, frane su strade, crolli estesi, aree allagate e incendi (fumo e aree bruciate).</t>
        </is>
      </c>
      <c r="D7" s="45" t="n"/>
      <c r="E7" s="45" t="inlineStr">
        <is>
          <t>Test AI su dataset</t>
        </is>
      </c>
      <c r="F7" s="45" t="inlineStr">
        <is>
          <t>Approvato</t>
        </is>
      </c>
      <c r="G7" s="45" t="inlineStr">
        <is>
          <t>D-002</t>
        </is>
      </c>
      <c r="H7" s="45" t="inlineStr">
        <is>
          <t>Giuseppe</t>
        </is>
      </c>
      <c r="I7" s="45" t="inlineStr">
        <is>
          <t>Metrica (precisione/richiamo) da fissare in Fase B</t>
        </is>
      </c>
    </row>
    <row r="8" ht="23.25" customHeight="1" s="26">
      <c r="A8" s="45" t="inlineStr">
        <is>
          <t>MR-07</t>
        </is>
      </c>
      <c r="B8" s="45" t="inlineStr">
        <is>
          <t>Missione</t>
        </is>
      </c>
      <c r="C8" s="45" t="inlineStr">
        <is>
          <t>Di notte PULSE deve rilevare incendi e blackout, distinguendo il blackout dalla copertura nuvolosa.</t>
        </is>
      </c>
      <c r="D8" s="45" t="inlineStr">
        <is>
          <t>Metodo TBD</t>
        </is>
      </c>
      <c r="E8" s="45" t="inlineStr">
        <is>
          <t>Analisi + test AI</t>
        </is>
      </c>
      <c r="F8" s="45" t="inlineStr">
        <is>
          <t>TBD</t>
        </is>
      </c>
      <c r="G8" s="45" t="inlineStr">
        <is>
          <t>D-013</t>
        </is>
      </c>
      <c r="H8" s="45" t="inlineStr">
        <is>
          <t>Giuseppe</t>
        </is>
      </c>
      <c r="I8" s="45" t="inlineStr">
        <is>
          <t>Da chiudere in A4</t>
        </is>
      </c>
    </row>
    <row r="9" ht="23.25" customHeight="1" s="26">
      <c r="A9" s="45" t="inlineStr">
        <is>
          <t>MR-08</t>
        </is>
      </c>
      <c r="B9" s="45" t="inlineStr">
        <is>
          <t>Missione</t>
        </is>
      </c>
      <c r="C9" s="45" t="inlineStr">
        <is>
          <t>Di notte PULSE deve segnalare possibili danni alle infrastrutture dalla variazione delle luci artificiali.</t>
        </is>
      </c>
      <c r="D9" s="45" t="n"/>
      <c r="E9" s="45" t="inlineStr">
        <is>
          <t>Test AI</t>
        </is>
      </c>
      <c r="F9" s="45" t="inlineStr">
        <is>
          <t>Approvato</t>
        </is>
      </c>
      <c r="G9" s="45" t="inlineStr">
        <is>
          <t>D-002</t>
        </is>
      </c>
      <c r="H9" s="45" t="inlineStr">
        <is>
          <t>Giuseppe</t>
        </is>
      </c>
      <c r="I9" s="45" t="n"/>
    </row>
    <row r="10" ht="23.25" customHeight="1" s="26">
      <c r="A10" s="45" t="inlineStr">
        <is>
          <t>MR-09</t>
        </is>
      </c>
      <c r="B10" s="45" t="inlineStr">
        <is>
          <t>Missione</t>
        </is>
      </c>
      <c r="C10" s="45" t="inlineStr">
        <is>
          <t>Il prodotto per ogni allarme deve essere un vettore georeferenziato con un ritaglio d'immagine.</t>
        </is>
      </c>
      <c r="D10" s="45" t="inlineStr">
        <is>
          <t>GIS, es. GeoJSON (TBC)</t>
        </is>
      </c>
      <c r="E10" s="45" t="inlineStr">
        <is>
          <t>Ispezione</t>
        </is>
      </c>
      <c r="F10" s="45" t="inlineStr">
        <is>
          <t>TBC</t>
        </is>
      </c>
      <c r="G10" s="45" t="inlineStr">
        <is>
          <t>D-007</t>
        </is>
      </c>
      <c r="H10" s="45" t="inlineStr">
        <is>
          <t>Giuseppe</t>
        </is>
      </c>
      <c r="I10" s="45" t="n"/>
    </row>
    <row r="11" ht="23.25" customHeight="1" s="26">
      <c r="A11" s="45" t="inlineStr">
        <is>
          <t>MR-10</t>
        </is>
      </c>
      <c r="B11" s="45" t="inlineStr">
        <is>
          <t>Missione</t>
        </is>
      </c>
      <c r="C11" s="45" t="inlineStr">
        <is>
          <t>L'AI di bordo deve ortorettificare le immagini con assetto, orbita e DEM e confrontarle con i vettori OSM precaricati.</t>
        </is>
      </c>
      <c r="D11" s="45" t="n"/>
      <c r="E11" s="45" t="inlineStr">
        <is>
          <t>Test</t>
        </is>
      </c>
      <c r="F11" s="45" t="inlineStr">
        <is>
          <t>Approvato</t>
        </is>
      </c>
      <c r="G11" s="45" t="inlineStr">
        <is>
          <t>D-008</t>
        </is>
      </c>
      <c r="H11" s="45" t="inlineStr">
        <is>
          <t>Giuseppe</t>
        </is>
      </c>
      <c r="I11" s="45" t="n"/>
    </row>
    <row r="12" ht="23.25" customHeight="1" s="26">
      <c r="A12" s="45" t="inlineStr">
        <is>
          <t>MR-11</t>
        </is>
      </c>
      <c r="B12" s="45" t="inlineStr">
        <is>
          <t>Missione</t>
        </is>
      </c>
      <c r="C12" s="45" t="inlineStr">
        <is>
          <t>Ogni satellite PULSE deve operare su orbita eliosincrona a ~302 km con LTDN 10:30, con quota mantenuta dalla propulsione elettrica.</t>
        </is>
      </c>
      <c r="D12" s="45" t="inlineStr">
        <is>
          <t>302 km, LTDN 10:30</t>
        </is>
      </c>
      <c r="E12" s="45" t="inlineStr">
        <is>
          <t>Analisi</t>
        </is>
      </c>
      <c r="F12" s="45" t="inlineStr">
        <is>
          <t>Approvato</t>
        </is>
      </c>
      <c r="G12" s="45" t="inlineStr">
        <is>
          <t>D-012, D-015</t>
        </is>
      </c>
      <c r="H12" s="45" t="inlineStr">
        <is>
          <t>Giuliano</t>
        </is>
      </c>
      <c r="I12" s="45" t="inlineStr">
        <is>
          <t>Formulazione per satellite, come nel report MDR</t>
        </is>
      </c>
    </row>
    <row r="13" ht="15" customHeight="1" s="26">
      <c r="A13" s="45" t="inlineStr">
        <is>
          <t>MR-12</t>
        </is>
      </c>
      <c r="B13" s="45" t="inlineStr">
        <is>
          <t>Missione</t>
        </is>
      </c>
      <c r="C13" s="45" t="inlineStr">
        <is>
          <t>Ogni satellite PULSE deve avere una vita operativa di almeno 2 anni.</t>
        </is>
      </c>
      <c r="D13" s="45" t="inlineStr">
        <is>
          <t>≥ 2 anni</t>
        </is>
      </c>
      <c r="E13" s="45" t="inlineStr">
        <is>
          <t>Analisi</t>
        </is>
      </c>
      <c r="F13" s="45" t="inlineStr">
        <is>
          <t>Approvato</t>
        </is>
      </c>
      <c r="G13" s="45" t="inlineStr">
        <is>
          <t>D-009, D-020</t>
        </is>
      </c>
      <c r="H13" s="45" t="inlineStr">
        <is>
          <t>Giuliano</t>
        </is>
      </c>
      <c r="I13" s="45" t="n"/>
    </row>
    <row r="14" ht="23.25" customHeight="1" s="26">
      <c r="A14" s="45" t="inlineStr">
        <is>
          <t>MR-13</t>
        </is>
      </c>
      <c r="B14" s="45" t="inlineStr">
        <is>
          <t>Missione</t>
        </is>
      </c>
      <c r="C14" s="45" t="inlineStr">
        <is>
          <t>Ogni satellite PULSE deve essere una CubeSat 16U compatibile con i deployer standard.</t>
        </is>
      </c>
      <c r="D14" s="45" t="inlineStr">
        <is>
          <t>16U</t>
        </is>
      </c>
      <c r="E14" s="45" t="inlineStr">
        <is>
          <t>Ispezione</t>
        </is>
      </c>
      <c r="F14" s="45" t="inlineStr">
        <is>
          <t>Approvato</t>
        </is>
      </c>
      <c r="G14" s="45" t="inlineStr">
        <is>
          <t>D-009</t>
        </is>
      </c>
      <c r="H14" s="45" t="inlineStr">
        <is>
          <t>Entrambi</t>
        </is>
      </c>
      <c r="I14" s="45" t="inlineStr">
        <is>
          <t>Massa da verificare in A5 (EarthNext max 35,6 kg)</t>
        </is>
      </c>
    </row>
    <row r="15" ht="23.25" customHeight="1" s="26">
      <c r="A15" s="45" t="inlineStr">
        <is>
          <t>MR-14</t>
        </is>
      </c>
      <c r="B15" s="45" t="inlineStr">
        <is>
          <t>Missione</t>
        </is>
      </c>
      <c r="C15" s="45" t="inlineStr">
        <is>
          <t>A fine vita ogni satellite PULSE deve rientrare in atmosfera secondo le regole sui detriti spaziali.</t>
        </is>
      </c>
      <c r="D15" s="45" t="n"/>
      <c r="E15" s="45" t="inlineStr">
        <is>
          <t>Analisi</t>
        </is>
      </c>
      <c r="F15" s="45" t="inlineStr">
        <is>
          <t>Approvato</t>
        </is>
      </c>
      <c r="G15" s="45" t="inlineStr">
        <is>
          <t>D-023</t>
        </is>
      </c>
      <c r="H15" s="45" t="inlineStr">
        <is>
          <t>Giuliano</t>
        </is>
      </c>
      <c r="I15" s="45" t="inlineStr">
        <is>
          <t>Rientro naturale da 302 km in pochi mesi</t>
        </is>
      </c>
    </row>
    <row r="16" ht="23.25" customHeight="1" s="26">
      <c r="A16" s="45" t="inlineStr">
        <is>
          <t>LR-01</t>
        </is>
      </c>
      <c r="B16" s="45" t="inlineStr">
        <is>
          <t>Lancio</t>
        </is>
      </c>
      <c r="C16" s="45" t="inlineStr">
        <is>
          <t>Il lanciatore o un rimorchiatore orbitale deve rilasciare i 4 satelliti a ~360 km, su orbita eliosincrona con inclinazione 96,8° e LTDN ~10:30.</t>
        </is>
      </c>
      <c r="D16" s="45" t="inlineStr">
        <is>
          <t>~360 km, 96,8°, 10:30</t>
        </is>
      </c>
      <c r="E16" s="45" t="inlineStr">
        <is>
          <t>Riesame interfaccia di lancio</t>
        </is>
      </c>
      <c r="F16" s="45" t="inlineStr">
        <is>
          <t>TBD</t>
        </is>
      </c>
      <c r="G16" s="45" t="inlineStr">
        <is>
          <t>D-018 (A1-bis)</t>
        </is>
      </c>
      <c r="H16" s="45" t="inlineStr">
        <is>
          <t>Giuliano</t>
        </is>
      </c>
      <c r="I16" s="45" t="inlineStr">
        <is>
          <t>Tolleranze da definire</t>
        </is>
      </c>
    </row>
    <row r="17" ht="15" customHeight="1" s="26">
      <c r="A17" s="45" t="inlineStr">
        <is>
          <t>DR-01</t>
        </is>
      </c>
      <c r="B17" s="45" t="inlineStr">
        <is>
          <t>Derivato</t>
        </is>
      </c>
      <c r="C17" s="45" t="inlineStr">
        <is>
          <t>Il tempo di esposizione diurno deve essere ≤ 0,2 ms per riga.</t>
        </is>
      </c>
      <c r="D17" s="45" t="inlineStr">
        <is>
          <t>≤ 0,2 ms</t>
        </is>
      </c>
      <c r="E17" s="45" t="inlineStr">
        <is>
          <t>Analisi</t>
        </is>
      </c>
      <c r="F17" s="45" t="inlineStr">
        <is>
          <t>Approvato</t>
        </is>
      </c>
      <c r="G17" s="45" t="inlineStr">
        <is>
          <t>D-024 (A2)</t>
        </is>
      </c>
      <c r="H17" s="45" t="inlineStr">
        <is>
          <t>Giuseppe</t>
        </is>
      </c>
      <c r="I17" s="45" t="inlineStr">
        <is>
          <t>Suolo a 7,4 km/s su pixel da 1,5 m</t>
        </is>
      </c>
    </row>
    <row r="18" ht="23.25" customHeight="1" s="26">
      <c r="A18" s="45" t="inlineStr">
        <is>
          <t>DR-02</t>
        </is>
      </c>
      <c r="B18" s="45" t="inlineStr">
        <is>
          <t>Derivato</t>
        </is>
      </c>
      <c r="C18" s="45" t="inlineStr">
        <is>
          <t>La stabilità di puntamento durante l'esposizione deve essere molto inferiore a 5 µrad.</t>
        </is>
      </c>
      <c r="D18" s="45" t="inlineStr">
        <is>
          <t>≪ 5 µrad</t>
        </is>
      </c>
      <c r="E18" s="45" t="inlineStr">
        <is>
          <t>Analisi + simulazione GNC</t>
        </is>
      </c>
      <c r="F18" s="45" t="inlineStr">
        <is>
          <t>TBC</t>
        </is>
      </c>
      <c r="G18" s="45" t="inlineStr">
        <is>
          <t>D-024 (A2)</t>
        </is>
      </c>
      <c r="H18" s="45" t="inlineStr">
        <is>
          <t>Giuliano</t>
        </is>
      </c>
      <c r="I18" s="45" t="inlineStr">
        <is>
          <t>Valore numerico da fissare in A5</t>
        </is>
      </c>
    </row>
    <row r="19" ht="23.25" customHeight="1" s="26">
      <c r="A19" s="45" t="inlineStr">
        <is>
          <t>DR-03</t>
        </is>
      </c>
      <c r="B19" s="45" t="inlineStr">
        <is>
          <t>Derivato</t>
        </is>
      </c>
      <c r="C19" s="45" t="inlineStr">
        <is>
          <t>La posizione del fuoco deve restare entro ±37 µm sul piano focale.</t>
        </is>
      </c>
      <c r="D19" s="45" t="inlineStr">
        <is>
          <t>± 37 µm</t>
        </is>
      </c>
      <c r="E19" s="45" t="inlineStr">
        <is>
          <t>Analisi termo-strutturale</t>
        </is>
      </c>
      <c r="F19" s="45" t="inlineStr">
        <is>
          <t>Approvato</t>
        </is>
      </c>
      <c r="G19" s="45" t="inlineStr">
        <is>
          <t>D-024 (A2)</t>
        </is>
      </c>
      <c r="H19" s="45" t="inlineStr">
        <is>
          <t>Giuseppe</t>
        </is>
      </c>
      <c r="I19" s="45" t="inlineStr">
        <is>
          <t>Impone stabilità termica del telescopio</t>
        </is>
      </c>
    </row>
    <row r="20" ht="23.25" customHeight="1" s="26">
      <c r="A20" s="45" t="inlineStr">
        <is>
          <t>DR-04</t>
        </is>
      </c>
      <c r="B20" s="45" t="inlineStr">
        <is>
          <t>Derivato</t>
        </is>
      </c>
      <c r="C20" s="45" t="inlineStr">
        <is>
          <t>Di notte il satellite deve eseguire la compensazione del moto (FMC).</t>
        </is>
      </c>
      <c r="D20" s="45" t="inlineStr">
        <is>
          <t>Beccheggio ~1,4°/s</t>
        </is>
      </c>
      <c r="E20" s="45" t="inlineStr">
        <is>
          <t>Simulazione GNC</t>
        </is>
      </c>
      <c r="F20" s="45" t="inlineStr">
        <is>
          <t>Approvato</t>
        </is>
      </c>
      <c r="G20" s="45" t="inlineStr">
        <is>
          <t>D-026 (A2)</t>
        </is>
      </c>
      <c r="H20" s="45" t="inlineStr">
        <is>
          <t>Giuliano</t>
        </is>
      </c>
      <c r="I20" s="45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5" t="inlineStr">
        <is>
          <t>DR-05</t>
        </is>
      </c>
      <c r="B21" s="45" t="inlineStr">
        <is>
          <t>Derivato</t>
        </is>
      </c>
      <c r="C21" s="45" t="inlineStr">
        <is>
          <t>La deriva d'assetto durante l'acquisizione a strisce deve permettere il riallineamento delle bande RGB-NIR.</t>
        </is>
      </c>
      <c r="D21" s="45" t="inlineStr">
        <is>
          <t>≤ 0,0002°/s senza correzione; ~0,001°/s con riallineamento a terra</t>
        </is>
      </c>
      <c r="E21" s="45" t="inlineStr">
        <is>
          <t>Analisi + simulazione GNC</t>
        </is>
      </c>
      <c r="F21" s="45" t="inlineStr">
        <is>
          <t>TBD</t>
        </is>
      </c>
      <c r="G21" s="45" t="inlineStr">
        <is>
          <t>D-025 (A2)</t>
        </is>
      </c>
      <c r="H21" s="45" t="inlineStr">
        <is>
          <t>Giuliano</t>
        </is>
      </c>
      <c r="I21" s="45" t="inlineStr">
        <is>
          <t>Scelta da fare in A5</t>
        </is>
      </c>
    </row>
    <row r="22" ht="15" customHeight="1" s="26">
      <c r="A22" s="45" t="inlineStr">
        <is>
          <t>DR-06</t>
        </is>
      </c>
      <c r="B22" s="45" t="inlineStr">
        <is>
          <t>Derivato</t>
        </is>
      </c>
      <c r="C22" s="45" t="inlineStr">
        <is>
          <t>Ogni satellite deve disporre di un impulso totale di almeno 8,1 kN·s (caso solare medio F10.7 = 129, margine 20% incluso).</t>
        </is>
      </c>
      <c r="D22" s="45" t="inlineStr">
        <is>
          <t>≥ 8,1 kN·s</t>
        </is>
      </c>
      <c r="E22" s="45" t="inlineStr">
        <is>
          <t>Analisi, poi verifica su datasheet / test</t>
        </is>
      </c>
      <c r="F22" s="45" t="inlineStr">
        <is>
          <t>TBC</t>
        </is>
      </c>
      <c r="G22" s="45" t="inlineStr">
        <is>
          <t>D-022 (A1-bis), D-033 (A5)</t>
        </is>
      </c>
      <c r="H22" s="45" t="inlineStr">
        <is>
          <t>Giuliano</t>
        </is>
      </c>
      <c r="I22" s="45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5" t="inlineStr">
        <is>
          <t>DR-07</t>
        </is>
      </c>
      <c r="B23" s="45" t="inlineStr">
        <is>
          <t>Derivato</t>
        </is>
      </c>
      <c r="C23" s="45" t="inlineStr">
        <is>
          <t>L'unità propulsiva deve contenere propellente sufficiente a fornire l'impulso di DR-06 all'Isp operativa.</t>
        </is>
      </c>
      <c r="D23" s="45" t="inlineStr">
        <is>
          <t>≥ impulso DR-06 (~1,5 kg di iodio a Isp 550 s)</t>
        </is>
      </c>
      <c r="E23" s="45" t="inlineStr">
        <is>
          <t>Analisi</t>
        </is>
      </c>
      <c r="F23" s="45" t="inlineStr">
        <is>
          <t>TBC</t>
        </is>
      </c>
      <c r="G23" s="45" t="inlineStr">
        <is>
          <t>D-022 (A1-bis), D-033, D-034 (A5)</t>
        </is>
      </c>
      <c r="H23" s="45" t="inlineStr">
        <is>
          <t>Giuliano</t>
        </is>
      </c>
      <c r="I23" s="45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5" t="inlineStr">
        <is>
          <t>DR-08</t>
        </is>
      </c>
      <c r="B24" s="45" t="inlineStr">
        <is>
          <t>Derivato</t>
        </is>
      </c>
      <c r="C24" s="45" t="inlineStr">
        <is>
          <t>Puntamento, FMC e acquisizione devono stare nella finestra di ripresa sul bersaglio.</t>
        </is>
      </c>
      <c r="D24" s="45" t="inlineStr">
        <is>
          <t>≤ 50 s a 30°, ≤ 90 s a 45°</t>
        </is>
      </c>
      <c r="E24" s="45" t="inlineStr">
        <is>
          <t>Simulazione GNC</t>
        </is>
      </c>
      <c r="F24" s="45" t="inlineStr">
        <is>
          <t>TBC</t>
        </is>
      </c>
      <c r="G24" s="45" t="inlineStr">
        <is>
          <t>A1</t>
        </is>
      </c>
      <c r="H24" s="45" t="inlineStr">
        <is>
          <t>Giuliano</t>
        </is>
      </c>
      <c r="I24" s="45" t="n"/>
    </row>
    <row r="25" ht="23.25" customHeight="1" s="26">
      <c r="A25" s="45" t="inlineStr">
        <is>
          <t>DR-09</t>
        </is>
      </c>
      <c r="B25" s="45" t="inlineStr">
        <is>
          <t>Derivato</t>
        </is>
      </c>
      <c r="C25" s="45" t="inlineStr">
        <is>
          <t>Di notte il canale sCMOS deve dare SNR ≥ 10 su un quartiere da 20 nW/cm²/sr a 4,8 m e su un paese da 5 nW/cm²/sr a 9,6 m (binning 2×2).</t>
        </is>
      </c>
      <c r="D25" s="45" t="inlineStr">
        <is>
          <t>SNR ≥ 10</t>
        </is>
      </c>
      <c r="E25" s="45" t="inlineStr">
        <is>
          <t>Analisi radiometrica, poi test</t>
        </is>
      </c>
      <c r="F25" s="45" t="inlineStr">
        <is>
          <t>Approvato</t>
        </is>
      </c>
      <c r="G25" s="45" t="inlineStr">
        <is>
          <t>D-029, D-031 (A3)</t>
        </is>
      </c>
      <c r="H25" s="45" t="inlineStr">
        <is>
          <t>Giuseppe</t>
        </is>
      </c>
      <c r="I25" s="45" t="inlineStr">
        <is>
          <t>Modello senza luce diffusa e parassita: riserva 3×3</t>
        </is>
      </c>
    </row>
    <row r="26" ht="23.25" customHeight="1" s="26">
      <c r="A26" s="45" t="inlineStr">
        <is>
          <t>DR-10</t>
        </is>
      </c>
      <c r="B26" s="45" t="inlineStr">
        <is>
          <t>Derivato</t>
        </is>
      </c>
      <c r="C26" s="45" t="inlineStr">
        <is>
          <t>Durante ogni scatto notturno da 20 ms la deriva d'assetto deve restare sotto la soglia di mosso di 1/3 di pixel.</t>
        </is>
      </c>
      <c r="D26" s="45" t="inlineStr">
        <is>
          <t>&lt; 0,015°/s (mosso &lt; 5,2 µrad)</t>
        </is>
      </c>
      <c r="E26" s="45" t="inlineStr">
        <is>
          <t>Analisi + simulazione GNC</t>
        </is>
      </c>
      <c r="F26" s="45" t="inlineStr">
        <is>
          <t>TBC</t>
        </is>
      </c>
      <c r="G26" s="45" t="inlineStr">
        <is>
          <t>D-030 (A3)</t>
        </is>
      </c>
      <c r="H26" s="45" t="inlineStr">
        <is>
          <t>Giuliano</t>
        </is>
      </c>
      <c r="I26" s="45" t="inlineStr">
        <is>
          <t>Da confermare con Giuliano in A5; se non raggiunta si passa al 3×3</t>
        </is>
      </c>
    </row>
    <row r="27" ht="23.25" customHeight="1" s="26">
      <c r="A27" s="45" t="inlineStr">
        <is>
          <t>DR-11</t>
        </is>
      </c>
      <c r="B27" s="45" t="inlineStr">
        <is>
          <t>Derivato</t>
        </is>
      </c>
      <c r="C27" s="45" t="inlineStr">
        <is>
          <t>L'inseguimento FMC deve durare quanto la raccolta notturna, con margine.</t>
        </is>
      </c>
      <c r="D27" s="45" t="inlineStr">
        <is>
          <t>≥ 0,36 s (200 ms città, 300 ms paesi + 20%); angolo ≤ 0,42° a nadir</t>
        </is>
      </c>
      <c r="E27" s="45" t="inlineStr">
        <is>
          <t>Simulazione GNC</t>
        </is>
      </c>
      <c r="F27" s="45" t="inlineStr">
        <is>
          <t>TBC</t>
        </is>
      </c>
      <c r="G27" s="45" t="inlineStr">
        <is>
          <t>D-030, D-031 (A3)</t>
        </is>
      </c>
      <c r="H27" s="45" t="inlineStr">
        <is>
          <t>Giuliano</t>
        </is>
      </c>
      <c r="I27" s="45" t="inlineStr">
        <is>
          <t>Esclusi puntamento e assestamento</t>
        </is>
      </c>
    </row>
    <row r="28" ht="23.25" customHeight="1" s="26">
      <c r="A28" s="45" t="inlineStr">
        <is>
          <t>DR-12</t>
        </is>
      </c>
      <c r="B28" s="45" t="inlineStr">
        <is>
          <t>Derivato</t>
        </is>
      </c>
      <c r="C28" s="45" t="inlineStr">
        <is>
          <t>Il sensore diurno deve permettere la somma di 4 passaggi nella striscia PAN (TDI digitale).</t>
        </is>
      </c>
      <c r="D28" s="45" t="inlineStr">
        <is>
          <t>≥ ~20 immagini/s</t>
        </is>
      </c>
      <c r="E28" s="45" t="inlineStr">
        <is>
          <t>Analisi, indagine di mercato</t>
        </is>
      </c>
      <c r="F28" s="45" t="inlineStr">
        <is>
          <t>Approvato</t>
        </is>
      </c>
      <c r="G28" s="45" t="inlineStr">
        <is>
          <t>D-032 (A3)</t>
        </is>
      </c>
      <c r="H28" s="45" t="inlineStr">
        <is>
          <t>Giuseppe</t>
        </is>
      </c>
      <c r="I28" s="45" t="inlineStr">
        <is>
          <t>Verifica sul mercato in A5 (R-22)</t>
        </is>
      </c>
    </row>
    <row r="29" ht="23.25" customHeight="1" s="26">
      <c r="A29" s="45" t="inlineStr">
        <is>
          <t>DR-13</t>
        </is>
      </c>
      <c r="B29" s="45" t="inlineStr">
        <is>
          <t>Derivato</t>
        </is>
      </c>
      <c r="C29" s="45" t="inlineStr">
        <is>
          <t>La scheda di bordo deve sommare gli scatti notturni e i passaggi diurni in tempo reale.</t>
        </is>
      </c>
      <c r="D29" s="45" t="inlineStr">
        <is>
          <t>~470 Mbit/s di giorno</t>
        </is>
      </c>
      <c r="E29" s="45" t="inlineStr">
        <is>
          <t>Analisi, poi test</t>
        </is>
      </c>
      <c r="F29" s="45" t="inlineStr">
        <is>
          <t>TBC</t>
        </is>
      </c>
      <c r="G29" s="45" t="inlineStr">
        <is>
          <t>D-030, D-032 (A3)</t>
        </is>
      </c>
      <c r="H29" s="45" t="inlineStr">
        <is>
          <t>Giuseppe</t>
        </is>
      </c>
      <c r="I29" s="45" t="inlineStr">
        <is>
          <t>Potenza e massa della scheda in A5</t>
        </is>
      </c>
    </row>
    <row r="30" ht="15" customHeight="1" s="26">
      <c r="A30" s="45" t="n"/>
      <c r="B30" s="45" t="n"/>
      <c r="C30" s="45" t="n"/>
      <c r="D30" s="45" t="n"/>
      <c r="E30" s="45" t="n"/>
      <c r="F30" s="45" t="n"/>
      <c r="G30" s="45" t="n"/>
      <c r="H30" s="45" t="n"/>
      <c r="I30" s="45" t="n"/>
    </row>
    <row r="31" ht="15" customHeight="1" s="26">
      <c r="A31" s="45" t="n"/>
      <c r="B31" s="45" t="n"/>
      <c r="C31" s="45" t="n"/>
      <c r="D31" s="45" t="n"/>
      <c r="E31" s="45" t="n"/>
      <c r="F31" s="45" t="n"/>
      <c r="G31" s="45" t="n"/>
      <c r="H31" s="45" t="n"/>
      <c r="I31" s="45" t="n"/>
    </row>
    <row r="32" ht="15" customHeight="1" s="26">
      <c r="A32" s="45" t="n"/>
      <c r="B32" s="45" t="n"/>
      <c r="C32" s="45" t="n"/>
      <c r="D32" s="45" t="n"/>
      <c r="E32" s="45" t="n"/>
      <c r="F32" s="45" t="n"/>
      <c r="G32" s="45" t="n"/>
      <c r="H32" s="45" t="n"/>
      <c r="I32" s="45" t="n"/>
    </row>
    <row r="33" ht="15" customHeight="1" s="26">
      <c r="A33" s="45" t="n"/>
      <c r="B33" s="45" t="n"/>
      <c r="C33" s="45" t="n"/>
      <c r="D33" s="45" t="n"/>
      <c r="E33" s="45" t="n"/>
      <c r="F33" s="45" t="n"/>
      <c r="G33" s="45" t="n"/>
      <c r="H33" s="45" t="n"/>
      <c r="I33" s="45" t="n"/>
    </row>
    <row r="34" ht="15" customHeight="1" s="26">
      <c r="A34" s="45" t="n"/>
      <c r="B34" s="45" t="n"/>
      <c r="C34" s="45" t="n"/>
      <c r="D34" s="45" t="n"/>
      <c r="E34" s="45" t="n"/>
      <c r="F34" s="45" t="n"/>
      <c r="G34" s="45" t="n"/>
      <c r="H34" s="45" t="n"/>
      <c r="I34" s="45" t="n"/>
    </row>
    <row r="35" ht="15" customHeight="1" s="26">
      <c r="A35" s="45" t="n"/>
      <c r="B35" s="45" t="n"/>
      <c r="C35" s="45" t="n"/>
      <c r="D35" s="45" t="n"/>
      <c r="E35" s="45" t="n"/>
      <c r="F35" s="45" t="n"/>
      <c r="G35" s="45" t="n"/>
      <c r="H35" s="45" t="n"/>
      <c r="I35" s="45" t="n"/>
    </row>
    <row r="36" ht="15" customHeight="1" s="26">
      <c r="A36" s="45" t="n"/>
      <c r="B36" s="45" t="n"/>
      <c r="C36" s="45" t="n"/>
      <c r="D36" s="45" t="n"/>
      <c r="E36" s="45" t="n"/>
      <c r="F36" s="45" t="n"/>
      <c r="G36" s="45" t="n"/>
      <c r="H36" s="45" t="n"/>
      <c r="I36" s="45" t="n"/>
    </row>
    <row r="37" ht="15" customHeight="1" s="26">
      <c r="A37" s="45" t="n"/>
      <c r="B37" s="45" t="n"/>
      <c r="C37" s="45" t="n"/>
      <c r="D37" s="45" t="n"/>
      <c r="E37" s="45" t="n"/>
      <c r="F37" s="45" t="n"/>
      <c r="G37" s="45" t="n"/>
      <c r="H37" s="45" t="n"/>
      <c r="I37" s="45" t="n"/>
    </row>
    <row r="38" ht="15" customHeight="1" s="26">
      <c r="A38" s="45" t="n"/>
      <c r="B38" s="45" t="n"/>
      <c r="C38" s="45" t="n"/>
      <c r="D38" s="45" t="n"/>
      <c r="E38" s="45" t="n"/>
      <c r="F38" s="45" t="n"/>
      <c r="G38" s="45" t="n"/>
      <c r="H38" s="45" t="n"/>
      <c r="I38" s="45" t="n"/>
    </row>
    <row r="39" ht="15" customHeight="1" s="26">
      <c r="A39" s="45" t="n"/>
      <c r="B39" s="45" t="n"/>
      <c r="C39" s="45" t="n"/>
      <c r="D39" s="45" t="n"/>
      <c r="E39" s="45" t="n"/>
      <c r="F39" s="45" t="n"/>
      <c r="G39" s="45" t="n"/>
      <c r="H39" s="45" t="n"/>
      <c r="I39" s="45" t="n"/>
    </row>
    <row r="40" ht="15" customHeight="1" s="26">
      <c r="A40" s="45" t="n"/>
      <c r="B40" s="45" t="n"/>
      <c r="C40" s="45" t="n"/>
      <c r="D40" s="45" t="n"/>
      <c r="E40" s="45" t="n"/>
      <c r="F40" s="45" t="n"/>
      <c r="G40" s="45" t="n"/>
      <c r="H40" s="45" t="n"/>
      <c r="I40" s="45" t="n"/>
    </row>
    <row r="41" ht="15" customHeight="1" s="26">
      <c r="A41" s="45" t="n"/>
      <c r="B41" s="45" t="n"/>
      <c r="C41" s="45" t="n"/>
      <c r="D41" s="45" t="n"/>
      <c r="E41" s="45" t="n"/>
      <c r="F41" s="45" t="n"/>
      <c r="G41" s="45" t="n"/>
      <c r="H41" s="45" t="n"/>
      <c r="I41" s="45" t="n"/>
    </row>
    <row r="42" ht="15" customHeight="1" s="26">
      <c r="A42" s="45" t="n"/>
      <c r="B42" s="45" t="n"/>
      <c r="C42" s="45" t="n"/>
      <c r="D42" s="45" t="n"/>
      <c r="E42" s="45" t="n"/>
      <c r="F42" s="45" t="n"/>
      <c r="G42" s="45" t="n"/>
      <c r="H42" s="45" t="n"/>
      <c r="I42" s="45" t="n"/>
    </row>
    <row r="43" ht="15" customHeight="1" s="26">
      <c r="A43" s="45" t="n"/>
      <c r="B43" s="45" t="n"/>
      <c r="C43" s="45" t="n"/>
      <c r="D43" s="45" t="n"/>
      <c r="E43" s="45" t="n"/>
      <c r="F43" s="45" t="n"/>
      <c r="G43" s="45" t="n"/>
      <c r="H43" s="45" t="n"/>
      <c r="I43" s="45" t="n"/>
    </row>
    <row r="44" ht="15" customHeight="1" s="26">
      <c r="A44" s="45" t="n"/>
      <c r="B44" s="45" t="n"/>
      <c r="C44" s="45" t="n"/>
      <c r="D44" s="45" t="n"/>
      <c r="E44" s="45" t="n"/>
      <c r="F44" s="45" t="n"/>
      <c r="G44" s="45" t="n"/>
      <c r="H44" s="45" t="n"/>
      <c r="I44" s="45" t="n"/>
    </row>
  </sheetData>
  <autoFilter ref="A1:I44"/>
  <conditionalFormatting sqref="A2:I44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44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44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44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5" t="inlineStr">
        <is>
          <t>R-01</t>
        </is>
      </c>
      <c r="B2" s="45" t="inlineStr">
        <is>
          <t>Il TMA con focale ~0,7 m non entra nel volume del 16U</t>
        </is>
      </c>
      <c r="C2" s="45" t="inlineStr">
        <is>
          <t>Ottica da rifare o piattaforma più grande</t>
        </is>
      </c>
      <c r="D2" s="45" t="inlineStr">
        <is>
          <t>Media</t>
        </is>
      </c>
      <c r="E2" s="45" t="inlineStr">
        <is>
          <t>Alta</t>
        </is>
      </c>
      <c r="F2" s="49">
        <f>IF(OR(D2="",E2=""),"",MATCH(D2,{"Bassa","Media","Alta"},0)*MATCH(E2,{"Bassa","Media","Alta"},0))</f>
        <v/>
      </c>
      <c r="G2" s="45" t="inlineStr">
        <is>
          <t>Ottica ripiegata; confronto con gli 8U dell'imager di EarthNext</t>
        </is>
      </c>
      <c r="H2" s="45" t="inlineStr">
        <is>
          <t>A5</t>
        </is>
      </c>
      <c r="I2" s="45" t="inlineStr">
        <is>
          <t>~5</t>
        </is>
      </c>
      <c r="J2" s="45" t="inlineStr">
        <is>
          <t>Giuseppe</t>
        </is>
      </c>
      <c r="K2" s="45" t="inlineStr">
        <is>
          <t>In mitigazione</t>
        </is>
      </c>
      <c r="L2" s="45" t="inlineStr">
        <is>
          <t>Fase 0</t>
        </is>
      </c>
      <c r="M2" s="45" t="inlineStr">
        <is>
          <t>A2: focale 0,70 m confermata ripiegabile nel TMA</t>
        </is>
      </c>
    </row>
    <row r="3" ht="23.25" customHeight="1" s="26">
      <c r="A3" s="45" t="inlineStr">
        <is>
          <t>R-02</t>
        </is>
      </c>
      <c r="B3" s="45" t="inlineStr">
        <is>
          <t>SNR notturno troppo basso</t>
        </is>
      </c>
      <c r="C3" s="45" t="inlineStr">
        <is>
          <t>Blackout e incendi non rilevabili</t>
        </is>
      </c>
      <c r="D3" s="45" t="inlineStr">
        <is>
          <t>Media</t>
        </is>
      </c>
      <c r="E3" s="45" t="inlineStr">
        <is>
          <t>Alta</t>
        </is>
      </c>
      <c r="F3" s="49">
        <f>IF(OR(D3="",E3=""),"",MATCH(D3,{"Bassa","Media","Alta"},0)*MATCH(E3,{"Bassa","Media","Alta"},0))</f>
        <v/>
      </c>
      <c r="G3" s="45" t="inlineStr">
        <is>
          <t>FMC quasi totale, binning, sCMOS dual-gain; bilancio radiometrico</t>
        </is>
      </c>
      <c r="H3" s="45" t="inlineStr">
        <is>
          <t>A3</t>
        </is>
      </c>
      <c r="I3" s="45" t="inlineStr">
        <is>
          <t>~4</t>
        </is>
      </c>
      <c r="J3" s="45" t="inlineStr">
        <is>
          <t>Giuseppe</t>
        </is>
      </c>
      <c r="K3" s="45" t="inlineStr">
        <is>
          <t>In mitigazione</t>
        </is>
      </c>
      <c r="L3" s="45" t="inlineStr">
        <is>
          <t>Fase 0</t>
        </is>
      </c>
      <c r="M3" s="45" t="inlineStr">
        <is>
          <t>A3: SNR 10 su quartiere a 4,8 m e paesi a 9,6 m; riserva 3×3 (SNR 12,3)</t>
        </is>
      </c>
    </row>
    <row r="4" ht="23.25" customHeight="1" s="26">
      <c r="A4" s="45" t="inlineStr">
        <is>
          <t>R-03</t>
        </is>
      </c>
      <c r="B4" s="45" t="inlineStr">
        <is>
          <t>Non si riesce a distinguere un blackout da una nuvola</t>
        </is>
      </c>
      <c r="C4" s="45" t="inlineStr">
        <is>
          <t>MR-07 non rispettato</t>
        </is>
      </c>
      <c r="D4" s="45" t="inlineStr">
        <is>
          <t>Alta</t>
        </is>
      </c>
      <c r="E4" s="45" t="inlineStr">
        <is>
          <t>Alta</t>
        </is>
      </c>
      <c r="F4" s="49">
        <f>IF(OR(D4="",E4=""),"",MATCH(D4,{"Bassa","Media","Alta"},0)*MATCH(E4,{"Bassa","Media","Alta"},0))</f>
        <v/>
      </c>
      <c r="G4" s="45" t="inlineStr">
        <is>
          <t>Immagine "prima", dati meteo, Luna, rivisita</t>
        </is>
      </c>
      <c r="H4" s="45" t="inlineStr">
        <is>
          <t>A4</t>
        </is>
      </c>
      <c r="I4" s="45" t="n"/>
      <c r="J4" s="45" t="inlineStr">
        <is>
          <t>Giuseppe</t>
        </is>
      </c>
      <c r="K4" s="45" t="inlineStr">
        <is>
          <t>Aperto</t>
        </is>
      </c>
      <c r="L4" s="45" t="inlineStr">
        <is>
          <t>Fase 0</t>
        </is>
      </c>
      <c r="M4" s="45" t="n"/>
    </row>
    <row r="5" ht="23.25" customHeight="1" s="26">
      <c r="A5" s="45" t="inlineStr">
        <is>
          <t>R-04</t>
        </is>
      </c>
      <c r="B5" s="45" t="inlineStr">
        <is>
          <t>Troppi falsi allarmi dell'AI (ombre, stagioni, cantieri)</t>
        </is>
      </c>
      <c r="C5" s="45" t="inlineStr">
        <is>
          <t>Prodotto poco affidabile</t>
        </is>
      </c>
      <c r="D5" s="45" t="inlineStr">
        <is>
          <t>Media</t>
        </is>
      </c>
      <c r="E5" s="45" t="inlineStr">
        <is>
          <t>Alta</t>
        </is>
      </c>
      <c r="F5" s="49">
        <f>IF(OR(D5="",E5=""),"",MATCH(D5,{"Bassa","Media","Alta"},0)*MATCH(E5,{"Bassa","Media","Alta"},0))</f>
        <v/>
      </c>
      <c r="G5" s="45" t="inlineStr">
        <is>
          <t>Test su dataset pubblici (es. xBD); soglie di confidenza</t>
        </is>
      </c>
      <c r="H5" s="45" t="inlineStr">
        <is>
          <t>Fase B</t>
        </is>
      </c>
      <c r="I5" s="45" t="inlineStr">
        <is>
          <t>~3–4</t>
        </is>
      </c>
      <c r="J5" s="45" t="inlineStr">
        <is>
          <t>Giuseppe</t>
        </is>
      </c>
      <c r="K5" s="45" t="inlineStr">
        <is>
          <t>Aperto</t>
        </is>
      </c>
      <c r="L5" s="45" t="inlineStr">
        <is>
          <t>Fase 0</t>
        </is>
      </c>
      <c r="M5" s="45" t="n"/>
    </row>
    <row r="6" ht="15" customHeight="1" s="26">
      <c r="A6" s="45" t="inlineStr">
        <is>
          <t>R-05</t>
        </is>
      </c>
      <c r="B6" s="45" t="inlineStr">
        <is>
          <t>Ortorettifica imprecisa off-nadir in montagna</t>
        </is>
      </c>
      <c r="C6" s="45" t="inlineStr">
        <is>
          <t>Vettori fuori posizione</t>
        </is>
      </c>
      <c r="D6" s="45" t="inlineStr">
        <is>
          <t>Media</t>
        </is>
      </c>
      <c r="E6" s="45" t="inlineStr">
        <is>
          <t>Media</t>
        </is>
      </c>
      <c r="F6" s="49">
        <f>IF(OR(D6="",E6=""),"",MATCH(D6,{"Bassa","Media","Alta"},0)*MATCH(E6,{"Bassa","Media","Alta"},0))</f>
        <v/>
      </c>
      <c r="G6" s="45" t="inlineStr">
        <is>
          <t>DEM a bordo; conoscenza d'assetto precisa</t>
        </is>
      </c>
      <c r="H6" s="45" t="inlineStr">
        <is>
          <t>Fase B</t>
        </is>
      </c>
      <c r="I6" s="45" t="n"/>
      <c r="J6" s="45" t="inlineStr">
        <is>
          <t>Entrambi</t>
        </is>
      </c>
      <c r="K6" s="45" t="inlineStr">
        <is>
          <t>Aperto</t>
        </is>
      </c>
      <c r="L6" s="45" t="inlineStr">
        <is>
          <t>Fase 0</t>
        </is>
      </c>
      <c r="M6" s="45" t="n"/>
    </row>
    <row r="7" ht="23.25" customHeight="1" s="26">
      <c r="A7" s="45" t="inlineStr">
        <is>
          <t>R-06</t>
        </is>
      </c>
      <c r="B7" s="45" t="inlineStr">
        <is>
          <t>Slew fino a 45° e FMC notturna oltre le capacità delle ruote</t>
        </is>
      </c>
      <c r="C7" s="45" t="inlineStr">
        <is>
          <t>Riprese perse o degradate</t>
        </is>
      </c>
      <c r="D7" s="45" t="inlineStr">
        <is>
          <t>Media</t>
        </is>
      </c>
      <c r="E7" s="45" t="inlineStr">
        <is>
          <t>Media</t>
        </is>
      </c>
      <c r="F7" s="49">
        <f>IF(OR(D7="",E7=""),"",MATCH(D7,{"Bassa","Media","Alta"},0)*MATCH(E7,{"Bassa","Media","Alta"},0))</f>
        <v/>
      </c>
      <c r="G7" s="45" t="inlineStr">
        <is>
          <t>Simulazione GNC; 45° è già modalità degradata</t>
        </is>
      </c>
      <c r="H7" s="45" t="inlineStr">
        <is>
          <t>A5</t>
        </is>
      </c>
      <c r="I7" s="45" t="inlineStr">
        <is>
          <t>~5–6</t>
        </is>
      </c>
      <c r="J7" s="45" t="inlineStr">
        <is>
          <t>Giuliano</t>
        </is>
      </c>
      <c r="K7" s="45" t="inlineStr">
        <is>
          <t>Aperto</t>
        </is>
      </c>
      <c r="L7" s="45" t="inlineStr">
        <is>
          <t>Fase 0</t>
        </is>
      </c>
      <c r="M7" s="45" t="inlineStr">
        <is>
          <t>A3: deriva &lt; 0,015°/s per scatto, inseguimento 0,36 s (DR-10, DR-11)</t>
        </is>
      </c>
    </row>
    <row r="8" ht="23.25" customHeight="1" s="26">
      <c r="A8" s="45" t="inlineStr">
        <is>
          <t>R-07</t>
        </is>
      </c>
      <c r="B8" s="45" t="inlineStr">
        <is>
          <t>Potenza insufficiente per AI + motore + manovre</t>
        </is>
      </c>
      <c r="C8" s="45" t="inlineStr">
        <is>
          <t>Conflitti operativi</t>
        </is>
      </c>
      <c r="D8" s="45" t="inlineStr">
        <is>
          <t>Media</t>
        </is>
      </c>
      <c r="E8" s="45" t="inlineStr">
        <is>
          <t>Media</t>
        </is>
      </c>
      <c r="F8" s="49">
        <f>IF(OR(D8="",E8=""),"",MATCH(D8,{"Bassa","Media","Alta"},0)*MATCH(E8,{"Bassa","Media","Alta"},0))</f>
        <v/>
      </c>
      <c r="G8" s="45" t="inlineStr">
        <is>
          <t>Separare nel tempo AI e spinta; budget di potenza</t>
        </is>
      </c>
      <c r="H8" s="45" t="inlineStr">
        <is>
          <t>A5</t>
        </is>
      </c>
      <c r="I8" s="45" t="n"/>
      <c r="J8" s="45" t="inlineStr">
        <is>
          <t>Entrambi</t>
        </is>
      </c>
      <c r="K8" s="45" t="inlineStr">
        <is>
          <t>Aperto</t>
        </is>
      </c>
      <c r="L8" s="45" t="inlineStr">
        <is>
          <t>Fase 0</t>
        </is>
      </c>
      <c r="M8" s="45" t="n"/>
    </row>
    <row r="9" ht="23.25" customHeight="1" s="26">
      <c r="A9" s="45" t="inlineStr">
        <is>
          <t>R-08</t>
        </is>
      </c>
      <c r="B9" s="45" t="inlineStr">
        <is>
          <t>48 h non rispettate per nuvole o pochi contatti</t>
        </is>
      </c>
      <c r="C9" s="45" t="inlineStr">
        <is>
          <t>MR-02 non rispettato</t>
        </is>
      </c>
      <c r="D9" s="45" t="inlineStr">
        <is>
          <t>Media</t>
        </is>
      </c>
      <c r="E9" s="45" t="inlineStr">
        <is>
          <t>Media</t>
        </is>
      </c>
      <c r="F9" s="49">
        <f>IF(OR(D9="",E9=""),"",MATCH(D9,{"Bassa","Media","Alta"},0)*MATCH(E9,{"Bassa","Media","Alta"},0))</f>
        <v/>
      </c>
      <c r="G9" s="45" t="inlineStr">
        <is>
          <t>Passaggio notturno; costellazione; stazioni ad alta latitudine</t>
        </is>
      </c>
      <c r="H9" s="45" t="inlineStr">
        <is>
          <t>A1</t>
        </is>
      </c>
      <c r="I9" s="45" t="n"/>
      <c r="J9" s="45" t="inlineStr">
        <is>
          <t>Giuliano</t>
        </is>
      </c>
      <c r="K9" s="45" t="inlineStr">
        <is>
          <t>In mitigazione</t>
        </is>
      </c>
      <c r="L9" s="45" t="inlineStr">
        <is>
          <t>Fase 0</t>
        </is>
      </c>
      <c r="M9" s="45" t="inlineStr">
        <is>
          <t>A1: 100% a 30° giorno+notte senza nuvole</t>
        </is>
      </c>
    </row>
    <row r="10" ht="23.25" customHeight="1" s="26">
      <c r="A10" s="45" t="inlineStr">
        <is>
          <t>R-09</t>
        </is>
      </c>
      <c r="B10" s="45" t="inlineStr">
        <is>
          <t>La scheda AI si scalda troppo</t>
        </is>
      </c>
      <c r="C10" s="45" t="inlineStr">
        <is>
          <t>Elaborazione rallentata o interrotta</t>
        </is>
      </c>
      <c r="D10" s="45" t="inlineStr">
        <is>
          <t>Bassa</t>
        </is>
      </c>
      <c r="E10" s="45" t="inlineStr">
        <is>
          <t>Media</t>
        </is>
      </c>
      <c r="F10" s="49">
        <f>IF(OR(D10="",E10=""),"",MATCH(D10,{"Bassa","Media","Alta"},0)*MATCH(E10,{"Bassa","Media","Alta"},0))</f>
        <v/>
      </c>
      <c r="G10" s="45" t="inlineStr">
        <is>
          <t>Analisi termica; elaborazione a impulsi</t>
        </is>
      </c>
      <c r="H10" s="45" t="inlineStr">
        <is>
          <t>A5</t>
        </is>
      </c>
      <c r="I10" s="45" t="n"/>
      <c r="J10" s="45" t="inlineStr">
        <is>
          <t>Giuseppe</t>
        </is>
      </c>
      <c r="K10" s="45" t="inlineStr">
        <is>
          <t>Aperto</t>
        </is>
      </c>
      <c r="L10" s="45" t="inlineStr">
        <is>
          <t>Fase 0</t>
        </is>
      </c>
      <c r="M10" s="45" t="n"/>
    </row>
    <row r="11" ht="15" customHeight="1" s="26">
      <c r="A11" s="45" t="inlineStr">
        <is>
          <t>R-10</t>
        </is>
      </c>
      <c r="B11" s="45" t="inlineStr">
        <is>
          <t>Un satellite singolo non rispetta MR-02</t>
        </is>
      </c>
      <c r="C11" s="45" t="inlineStr">
        <is>
          <t>Missione non conforme</t>
        </is>
      </c>
      <c r="D11" s="45" t="inlineStr">
        <is>
          <t>Alta</t>
        </is>
      </c>
      <c r="E11" s="45" t="inlineStr">
        <is>
          <t>Alta</t>
        </is>
      </c>
      <c r="F11" s="49">
        <f>IF(OR(D11="",E11=""),"",MATCH(D11,{"Bassa","Media","Alta"},0)*MATCH(E11,{"Bassa","Media","Alta"},0))</f>
        <v/>
      </c>
      <c r="G11" s="45" t="inlineStr">
        <is>
          <t>Costellazione di 4 (D-015)</t>
        </is>
      </c>
      <c r="H11" s="45" t="inlineStr">
        <is>
          <t>A1</t>
        </is>
      </c>
      <c r="I11" s="45" t="n"/>
      <c r="J11" s="45" t="inlineStr">
        <is>
          <t>Giuliano</t>
        </is>
      </c>
      <c r="K11" s="45" t="inlineStr">
        <is>
          <t>Chiuso</t>
        </is>
      </c>
      <c r="L11" s="45" t="inlineStr">
        <is>
          <t>Fase 0</t>
        </is>
      </c>
      <c r="M11" s="45" t="inlineStr">
        <is>
          <t>Chiuso con D-015</t>
        </is>
      </c>
    </row>
    <row r="12" ht="23.25" customHeight="1" s="26">
      <c r="A12" s="45" t="inlineStr">
        <is>
          <t>R-11</t>
        </is>
      </c>
      <c r="B12" s="45" t="inlineStr">
        <is>
          <t>Nessun lancio o rimorchiatore disponibile per l'orbita richiesta</t>
        </is>
      </c>
      <c r="C12" s="45" t="inlineStr">
        <is>
          <t>Ritardo o orbita diversa</t>
        </is>
      </c>
      <c r="D12" s="45" t="n"/>
      <c r="E12" s="45" t="inlineStr">
        <is>
          <t>Alta</t>
        </is>
      </c>
      <c r="F12" s="49">
        <f>IF(OR(D12="",E12=""),"",MATCH(D12,{"Bassa","Media","Alta"},0)*MATCH(E12,{"Bassa","Media","Alta"},0))</f>
        <v/>
      </c>
      <c r="G12" s="45" t="inlineStr">
        <is>
          <t>Indagine sui rideshare eliosincroni; piano B rilascio a 500 km (111,9 m/s)</t>
        </is>
      </c>
      <c r="H12" s="45" t="inlineStr">
        <is>
          <t>A6</t>
        </is>
      </c>
      <c r="I12" s="45" t="n"/>
      <c r="J12" s="45" t="inlineStr">
        <is>
          <t>Giuliano</t>
        </is>
      </c>
      <c r="K12" s="45" t="inlineStr">
        <is>
          <t>Aperto</t>
        </is>
      </c>
      <c r="L12" s="45" t="inlineStr">
        <is>
          <t>A1-bis</t>
        </is>
      </c>
      <c r="M12" s="45" t="inlineStr">
        <is>
          <t>Probabilità da valutare in A6</t>
        </is>
      </c>
    </row>
    <row r="13" ht="23.25" customHeight="1" s="26">
      <c r="A13" s="45" t="inlineStr">
        <is>
          <t>R-12</t>
        </is>
      </c>
      <c r="B13" s="45" t="inlineStr">
        <is>
          <t>Attività solare più alta del previsto</t>
        </is>
      </c>
      <c r="C13" s="45" t="inlineStr">
        <is>
          <t>ΔV fino a 464 m/s in 2 anni</t>
        </is>
      </c>
      <c r="D13" s="45" t="n"/>
      <c r="E13" s="45" t="inlineStr">
        <is>
          <t>Media</t>
        </is>
      </c>
      <c r="F13" s="49">
        <f>IF(OR(D13="",E13=""),"",MATCH(D13,{"Bassa","Media","Alta"},0)*MATCH(E13,{"Bassa","Media","Alta"},0))</f>
        <v/>
      </c>
      <c r="G13" s="45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5" t="inlineStr">
        <is>
          <t>A5</t>
        </is>
      </c>
      <c r="I13" s="45" t="n"/>
      <c r="J13" s="45" t="inlineStr">
        <is>
          <t>Giuliano</t>
        </is>
      </c>
      <c r="K13" s="45" t="inlineStr">
        <is>
          <t>Aperto</t>
        </is>
      </c>
      <c r="L13" s="45" t="inlineStr">
        <is>
          <t>A1-bis</t>
        </is>
      </c>
      <c r="M13" s="45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5" t="inlineStr">
        <is>
          <t>R-13</t>
        </is>
      </c>
      <c r="B14" s="45" t="inlineStr">
        <is>
          <t>Serbatoio troppo piccolo per ~1,5 kg di iodio</t>
        </is>
      </c>
      <c r="C14" s="45" t="inlineStr">
        <is>
          <t>Vita operativa ridotta</t>
        </is>
      </c>
      <c r="D14" s="45" t="n"/>
      <c r="E14" s="45" t="inlineStr">
        <is>
          <t>Media</t>
        </is>
      </c>
      <c r="F14" s="49">
        <f>IF(OR(D14="",E14=""),"",MATCH(D14,{"Bassa","Media","Alta"},0)*MATCH(E14,{"Bassa","Media","Alta"},0))</f>
        <v/>
      </c>
      <c r="G14" s="45" t="inlineStr">
        <is>
          <t>Unità di riferimento REGULUS-50-I2 Large con 11 kN·s (+36% su D-033)</t>
        </is>
      </c>
      <c r="H14" s="45" t="inlineStr">
        <is>
          <t>A5</t>
        </is>
      </c>
      <c r="I14" s="45" t="n"/>
      <c r="J14" s="45" t="inlineStr">
        <is>
          <t>Giuliano</t>
        </is>
      </c>
      <c r="K14" s="45" t="inlineStr">
        <is>
          <t>In mitigazione</t>
        </is>
      </c>
      <c r="L14" s="45" t="inlineStr">
        <is>
          <t>A1-bis</t>
        </is>
      </c>
      <c r="M14" s="45" t="inlineStr">
        <is>
          <t>Probabilità da valutare in A6. A5.2: capacità dell'unità ~2,0 kg di iodio (stima) contro ~1,5 kg necessari</t>
        </is>
      </c>
    </row>
    <row r="15" ht="23.25" customHeight="1" s="26">
      <c r="A15" s="45" t="inlineStr">
        <is>
          <t>R-14</t>
        </is>
      </c>
      <c r="B15" s="45" t="inlineStr">
        <is>
          <t>Motore acceso ~4,2 h/giorno in mantenimento</t>
        </is>
      </c>
      <c r="C15" s="45" t="inlineStr">
        <is>
          <t>Conflitti con riprese, scarico dati e potenza</t>
        </is>
      </c>
      <c r="D15" s="45" t="n"/>
      <c r="E15" s="45" t="inlineStr">
        <is>
          <t>Media</t>
        </is>
      </c>
      <c r="F15" s="49">
        <f>IF(OR(D15="",E15=""),"",MATCH(D15,{"Bassa","Media","Alta"},0)*MATCH(E15,{"Bassa","Media","Alta"},0))</f>
        <v/>
      </c>
      <c r="G15" s="45" t="inlineStr">
        <is>
          <t>Budget di potenza e piano operativo</t>
        </is>
      </c>
      <c r="H15" s="45" t="inlineStr">
        <is>
          <t>A5</t>
        </is>
      </c>
      <c r="I15" s="45" t="n"/>
      <c r="J15" s="45" t="inlineStr">
        <is>
          <t>Giuliano</t>
        </is>
      </c>
      <c r="K15" s="45" t="inlineStr">
        <is>
          <t>Aperto</t>
        </is>
      </c>
      <c r="L15" s="45" t="inlineStr">
        <is>
          <t>A1-bis</t>
        </is>
      </c>
      <c r="M15" s="45" t="inlineStr">
        <is>
          <t>Probabilità da valutare in A6. A5.2: ~4,2 h/giorno con la spinta REGULUS di 0,55 mN a 50 W (Sole medio), ~7,8 h con Sole alto; il valore 4,7 h di A1-bis era a 0,5 mN</t>
        </is>
      </c>
    </row>
    <row r="16" ht="23.25" customHeight="1" s="26">
      <c r="A16" s="45" t="inlineStr">
        <is>
          <t>R-15</t>
        </is>
      </c>
      <c r="B16" s="45" t="inlineStr">
        <is>
          <t>Riallineamento delle bande a strisce</t>
        </is>
      </c>
      <c r="C16" s="45" t="inlineStr">
        <is>
          <t>Bordi colorati se l'assetto oscilla (0,001°/s → ~4 m)</t>
        </is>
      </c>
      <c r="D16" s="45" t="n"/>
      <c r="E16" s="45" t="inlineStr">
        <is>
          <t>Media</t>
        </is>
      </c>
      <c r="F16" s="49">
        <f>IF(OR(D16="",E16=""),"",MATCH(D16,{"Bassa","Media","Alta"},0)*MATCH(E16,{"Bassa","Media","Alta"},0))</f>
        <v/>
      </c>
      <c r="G16" s="45" t="inlineStr">
        <is>
          <t>Requisito di stabilità ADCS (DR-05); riallineamento a terra</t>
        </is>
      </c>
      <c r="H16" s="45" t="inlineStr">
        <is>
          <t>A5</t>
        </is>
      </c>
      <c r="I16" s="45" t="n"/>
      <c r="J16" s="45" t="inlineStr">
        <is>
          <t>Giuliano</t>
        </is>
      </c>
      <c r="K16" s="45" t="inlineStr">
        <is>
          <t>Aperto</t>
        </is>
      </c>
      <c r="L16" s="45" t="inlineStr">
        <is>
          <t>A2</t>
        </is>
      </c>
      <c r="M16" s="45" t="inlineStr">
        <is>
          <t>Probabilità da valutare in A6</t>
        </is>
      </c>
    </row>
    <row r="17" ht="15" customHeight="1" s="26">
      <c r="A17" s="45" t="inlineStr">
        <is>
          <t>R-16</t>
        </is>
      </c>
      <c r="B17" s="45" t="inlineStr">
        <is>
          <t>Luce diffusa notturna (Luna, alone delle città)</t>
        </is>
      </c>
      <c r="C17" s="45" t="inlineStr">
        <is>
          <t>Contrasto ridotto sulle zone buie</t>
        </is>
      </c>
      <c r="D17" s="45" t="n"/>
      <c r="E17" s="45" t="inlineStr">
        <is>
          <t>Media</t>
        </is>
      </c>
      <c r="F17" s="49">
        <f>IF(OR(D17="",E17=""),"",MATCH(D17,{"Bassa","Media","Alta"},0)*MATCH(E17,{"Bassa","Media","Alta"},0))</f>
        <v/>
      </c>
      <c r="G17" s="45" t="inlineStr">
        <is>
          <t>Bilancio radiometrico con Luna; deflettori</t>
        </is>
      </c>
      <c r="H17" s="45" t="inlineStr">
        <is>
          <t>A4</t>
        </is>
      </c>
      <c r="I17" s="45" t="n"/>
      <c r="J17" s="45" t="inlineStr">
        <is>
          <t>Giuseppe</t>
        </is>
      </c>
      <c r="K17" s="45" t="inlineStr">
        <is>
          <t>Aperto</t>
        </is>
      </c>
      <c r="L17" s="45" t="inlineStr">
        <is>
          <t>A2</t>
        </is>
      </c>
      <c r="M17" s="45" t="inlineStr">
        <is>
          <t>A3: luna piena ~7 nW/cm²/sr, come un paese illuminato. Probabilità da valutare in A6</t>
        </is>
      </c>
    </row>
    <row r="18" ht="23.25" customHeight="1" s="26">
      <c r="A18" s="45" t="inlineStr">
        <is>
          <t>R-17</t>
        </is>
      </c>
      <c r="B18" s="45" t="inlineStr">
        <is>
          <t>Disponibilità e vincoli di export dei sensori sCMOS spaziali</t>
        </is>
      </c>
      <c r="C18" s="45" t="inlineStr">
        <is>
          <t>Sensore non acquistabile</t>
        </is>
      </c>
      <c r="D18" s="45" t="n"/>
      <c r="E18" s="45" t="inlineStr">
        <is>
          <t>Alta</t>
        </is>
      </c>
      <c r="F18" s="49">
        <f>IF(OR(D18="",E18=""),"",MATCH(D18,{"Bassa","Media","Alta"},0)*MATCH(E18,{"Bassa","Media","Alta"},0))</f>
        <v/>
      </c>
      <c r="G18" s="45" t="inlineStr">
        <is>
          <t>Indagine di mercato</t>
        </is>
      </c>
      <c r="H18" s="45" t="inlineStr">
        <is>
          <t>A5</t>
        </is>
      </c>
      <c r="I18" s="45" t="n"/>
      <c r="J18" s="45" t="inlineStr">
        <is>
          <t>Giuseppe</t>
        </is>
      </c>
      <c r="K18" s="45" t="inlineStr">
        <is>
          <t>Aperto</t>
        </is>
      </c>
      <c r="L18" s="45" t="inlineStr">
        <is>
          <t>A2</t>
        </is>
      </c>
      <c r="M18" s="45" t="inlineStr">
        <is>
          <t>Probabilità da valutare in A6</t>
        </is>
      </c>
    </row>
    <row r="19" ht="23.25" customHeight="1" s="26">
      <c r="A19" s="45" t="inlineStr">
        <is>
          <t>R-18</t>
        </is>
      </c>
      <c r="B19" s="45" t="inlineStr">
        <is>
          <t>Leggero aliasing (Q = 0,92, MTF a Nyquist ~0,28)</t>
        </is>
      </c>
      <c r="C19" s="45" t="inlineStr">
        <is>
          <t>Artefatti su strutture regolari</t>
        </is>
      </c>
      <c r="D19" s="45" t="inlineStr">
        <is>
          <t>Bassa</t>
        </is>
      </c>
      <c r="E19" s="45" t="inlineStr">
        <is>
          <t>Bassa</t>
        </is>
      </c>
      <c r="F19" s="49">
        <f>IF(OR(D19="",E19=""),"",MATCH(D19,{"Bassa","Media","Alta"},0)*MATCH(E19,{"Bassa","Media","Alta"},0))</f>
        <v/>
      </c>
      <c r="G19" s="45" t="inlineStr">
        <is>
          <t>Nessuna: accettabile per la mappatura dei danni</t>
        </is>
      </c>
      <c r="H19" s="45" t="inlineStr">
        <is>
          <t>A2</t>
        </is>
      </c>
      <c r="I19" s="45" t="n"/>
      <c r="J19" s="45" t="inlineStr">
        <is>
          <t>Giuseppe</t>
        </is>
      </c>
      <c r="K19" s="45" t="inlineStr">
        <is>
          <t>Accettato</t>
        </is>
      </c>
      <c r="L19" s="45" t="inlineStr">
        <is>
          <t>A2</t>
        </is>
      </c>
      <c r="M19" s="45" t="n"/>
    </row>
    <row r="20" ht="23.25" customHeight="1" s="26">
      <c r="A20" s="45" t="inlineStr">
        <is>
          <t>R-19</t>
        </is>
      </c>
      <c r="B20" s="45" t="inlineStr">
        <is>
          <t>Radianze notturne reali diverse dalle medie VIIRS (750 m) a 5 m, e diverse tra LED e sodio</t>
        </is>
      </c>
      <c r="C20" s="45" t="inlineStr">
        <is>
          <t>SNR locale più basso del previsto</t>
        </is>
      </c>
      <c r="D20" s="45" t="n"/>
      <c r="E20" s="45" t="inlineStr">
        <is>
          <t>Media</t>
        </is>
      </c>
      <c r="F20" s="49">
        <f>IF(OR(D20="",E20=""),"",MATCH(D20,{"Bassa","Media","Alta"},0)*MATCH(E20,{"Bassa","Media","Alta"},0))</f>
        <v/>
      </c>
      <c r="G20" s="45" t="inlineStr">
        <is>
          <t>Binning adattivo; riserva 3×3</t>
        </is>
      </c>
      <c r="H20" s="45" t="inlineStr">
        <is>
          <t>Fase B</t>
        </is>
      </c>
      <c r="I20" s="45" t="n"/>
      <c r="J20" s="45" t="inlineStr">
        <is>
          <t>Giuseppe</t>
        </is>
      </c>
      <c r="K20" s="45" t="inlineStr">
        <is>
          <t>Aperto</t>
        </is>
      </c>
      <c r="L20" s="45" t="inlineStr">
        <is>
          <t>A3</t>
        </is>
      </c>
      <c r="M20" s="45" t="inlineStr">
        <is>
          <t>Probabilità da valutare in A6</t>
        </is>
      </c>
    </row>
    <row r="21" ht="23.25" customHeight="1" s="26">
      <c r="A21" s="45" t="inlineStr">
        <is>
          <t>R-20</t>
        </is>
      </c>
      <c r="B21" s="45" t="inlineStr">
        <is>
          <t>Il modello SNR trascura luce diffusa dall'atmosfera, luce parassita e sfocatura</t>
        </is>
      </c>
      <c r="C21" s="45" t="inlineStr">
        <is>
          <t>SNR reale un po' più basso</t>
        </is>
      </c>
      <c r="D21" s="45" t="n"/>
      <c r="E21" s="45" t="inlineStr">
        <is>
          <t>Media</t>
        </is>
      </c>
      <c r="F21" s="49">
        <f>IF(OR(D21="",E21=""),"",MATCH(D21,{"Bassa","Media","Alta"},0)*MATCH(E21,{"Bassa","Media","Alta"},0))</f>
        <v/>
      </c>
      <c r="G21" s="45" t="inlineStr">
        <is>
          <t>Riserva 3×3; deflettori; analisi di luce parassita</t>
        </is>
      </c>
      <c r="H21" s="45" t="inlineStr">
        <is>
          <t>Fase B</t>
        </is>
      </c>
      <c r="I21" s="45" t="n"/>
      <c r="J21" s="45" t="inlineStr">
        <is>
          <t>Giuseppe</t>
        </is>
      </c>
      <c r="K21" s="45" t="inlineStr">
        <is>
          <t>Aperto</t>
        </is>
      </c>
      <c r="L21" s="45" t="inlineStr">
        <is>
          <t>A3</t>
        </is>
      </c>
      <c r="M21" s="45" t="inlineStr">
        <is>
          <t>Probabilità da valutare in A6</t>
        </is>
      </c>
    </row>
    <row r="22" ht="23.25" customHeight="1" s="26">
      <c r="A22" s="45" t="inlineStr">
        <is>
          <t>R-21</t>
        </is>
      </c>
      <c r="B22" s="45" t="inlineStr">
        <is>
          <t>Riallineamento degli scatti su zone completamente al buio</t>
        </is>
      </c>
      <c r="C22" s="45" t="inlineStr">
        <is>
          <t>Immagine sommata sfocata proprio nel blackout</t>
        </is>
      </c>
      <c r="D22" s="45" t="n"/>
      <c r="E22" s="45" t="inlineStr">
        <is>
          <t>Media</t>
        </is>
      </c>
      <c r="F22" s="49">
        <f>IF(OR(D22="",E22=""),"",MATCH(D22,{"Bassa","Media","Alta"},0)*MATCH(E22,{"Bassa","Media","Alta"},0))</f>
        <v/>
      </c>
      <c r="G22" s="45" t="inlineStr">
        <is>
          <t>Riallineamento con i dati d'assetto (giroscopi, star tracker)</t>
        </is>
      </c>
      <c r="H22" s="45" t="inlineStr">
        <is>
          <t>A5</t>
        </is>
      </c>
      <c r="I22" s="45" t="n"/>
      <c r="J22" s="45" t="inlineStr">
        <is>
          <t>Entrambi</t>
        </is>
      </c>
      <c r="K22" s="45" t="inlineStr">
        <is>
          <t>Aperto</t>
        </is>
      </c>
      <c r="L22" s="45" t="inlineStr">
        <is>
          <t>A3</t>
        </is>
      </c>
      <c r="M22" s="45" t="inlineStr">
        <is>
          <t>Dipende dalla conoscenza d'assetto di Giuliano. Probabilità da valutare in A6</t>
        </is>
      </c>
    </row>
    <row r="23" ht="23.25" customHeight="1" s="26">
      <c r="A23" s="45" t="inlineStr">
        <is>
          <t>R-22</t>
        </is>
      </c>
      <c r="B23" s="45" t="inlineStr">
        <is>
          <t>Pochi sensori diurni di questa taglia superano 20 immagini/s</t>
        </is>
      </c>
      <c r="C23" s="45" t="inlineStr">
        <is>
          <t>TDI digitale a 4 passaggi non realizzabile; SNR invernale basso</t>
        </is>
      </c>
      <c r="D23" s="45" t="n"/>
      <c r="E23" s="45" t="inlineStr">
        <is>
          <t>Media</t>
        </is>
      </c>
      <c r="F23" s="49">
        <f>IF(OR(D23="",E23=""),"",MATCH(D23,{"Bassa","Media","Alta"},0)*MATCH(E23,{"Bassa","Media","Alta"},0))</f>
        <v/>
      </c>
      <c r="G23" s="45" t="inlineStr">
        <is>
          <t>Indagine di mercato; ritaglio della finestra letta</t>
        </is>
      </c>
      <c r="H23" s="45" t="inlineStr">
        <is>
          <t>A5</t>
        </is>
      </c>
      <c r="I23" s="45" t="n"/>
      <c r="J23" s="45" t="inlineStr">
        <is>
          <t>Giuseppe</t>
        </is>
      </c>
      <c r="K23" s="45" t="inlineStr">
        <is>
          <t>Aperto</t>
        </is>
      </c>
      <c r="L23" s="45" t="inlineStr">
        <is>
          <t>A3</t>
        </is>
      </c>
      <c r="M23" s="45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5" t="n"/>
      <c r="B26" s="45" t="n"/>
      <c r="C26" s="45" t="n"/>
      <c r="D26" s="45" t="n"/>
      <c r="E26" s="45" t="n"/>
      <c r="F26" s="49">
        <f>IF(OR(D26="",E26=""),"",MATCH(D26,{"Bassa","Media","Alta"},0)*MATCH(E26,{"Bassa","Media","Alta"},0))</f>
        <v/>
      </c>
      <c r="G26" s="45" t="n"/>
      <c r="H26" s="45" t="n"/>
      <c r="I26" s="45" t="n"/>
      <c r="J26" s="45" t="n"/>
      <c r="K26" s="45" t="n"/>
      <c r="L26" s="45" t="n"/>
      <c r="M26" s="45" t="n"/>
    </row>
    <row r="27" ht="15" customHeight="1" s="26">
      <c r="A27" s="45" t="n"/>
      <c r="B27" s="45" t="n"/>
      <c r="C27" s="45" t="n"/>
      <c r="D27" s="45" t="n"/>
      <c r="E27" s="45" t="n"/>
      <c r="F27" s="49">
        <f>IF(OR(D27="",E27=""),"",MATCH(D27,{"Bassa","Media","Alta"},0)*MATCH(E27,{"Bassa","Media","Alta"},0))</f>
        <v/>
      </c>
      <c r="G27" s="45" t="n"/>
      <c r="H27" s="45" t="n"/>
      <c r="I27" s="45" t="n"/>
      <c r="J27" s="45" t="n"/>
      <c r="K27" s="45" t="n"/>
      <c r="L27" s="45" t="n"/>
      <c r="M27" s="45" t="n"/>
    </row>
    <row r="28" ht="15" customHeight="1" s="26">
      <c r="A28" s="45" t="n"/>
      <c r="B28" s="45" t="n"/>
      <c r="C28" s="45" t="n"/>
      <c r="D28" s="45" t="n"/>
      <c r="E28" s="45" t="n"/>
      <c r="F28" s="49">
        <f>IF(OR(D28="",E28=""),"",MATCH(D28,{"Bassa","Media","Alta"},0)*MATCH(E28,{"Bassa","Media","Alta"},0))</f>
        <v/>
      </c>
      <c r="G28" s="45" t="n"/>
      <c r="H28" s="45" t="n"/>
      <c r="I28" s="45" t="n"/>
      <c r="J28" s="45" t="n"/>
      <c r="K28" s="45" t="n"/>
      <c r="L28" s="45" t="n"/>
      <c r="M28" s="45" t="n"/>
    </row>
    <row r="29" ht="15" customHeight="1" s="26">
      <c r="A29" s="45" t="n"/>
      <c r="B29" s="45" t="n"/>
      <c r="C29" s="45" t="n"/>
      <c r="D29" s="45" t="n"/>
      <c r="E29" s="45" t="n"/>
      <c r="F29" s="49">
        <f>IF(OR(D29="",E29=""),"",MATCH(D29,{"Bassa","Media","Alta"},0)*MATCH(E29,{"Bassa","Media","Alta"},0))</f>
        <v/>
      </c>
      <c r="G29" s="45" t="n"/>
      <c r="H29" s="45" t="n"/>
      <c r="I29" s="45" t="n"/>
      <c r="J29" s="45" t="n"/>
      <c r="K29" s="45" t="n"/>
      <c r="L29" s="45" t="n"/>
      <c r="M29" s="45" t="n"/>
    </row>
    <row r="30" ht="15" customHeight="1" s="26">
      <c r="A30" s="45" t="n"/>
      <c r="B30" s="45" t="n"/>
      <c r="C30" s="45" t="n"/>
      <c r="D30" s="45" t="n"/>
      <c r="E30" s="45" t="n"/>
      <c r="F30" s="49">
        <f>IF(OR(D30="",E30=""),"",MATCH(D30,{"Bassa","Media","Alta"},0)*MATCH(E30,{"Bassa","Media","Alta"},0))</f>
        <v/>
      </c>
      <c r="G30" s="45" t="n"/>
      <c r="H30" s="45" t="n"/>
      <c r="I30" s="45" t="n"/>
      <c r="J30" s="45" t="n"/>
      <c r="K30" s="45" t="n"/>
      <c r="L30" s="45" t="n"/>
      <c r="M30" s="45" t="n"/>
    </row>
    <row r="31" ht="15" customHeight="1" s="26">
      <c r="A31" s="45" t="n"/>
      <c r="B31" s="45" t="n"/>
      <c r="C31" s="45" t="n"/>
      <c r="D31" s="45" t="n"/>
      <c r="E31" s="45" t="n"/>
      <c r="F31" s="49">
        <f>IF(OR(D31="",E31=""),"",MATCH(D31,{"Bassa","Media","Alta"},0)*MATCH(E31,{"Bassa","Media","Alta"},0))</f>
        <v/>
      </c>
      <c r="G31" s="45" t="n"/>
      <c r="H31" s="45" t="n"/>
      <c r="I31" s="45" t="n"/>
      <c r="J31" s="45" t="n"/>
      <c r="K31" s="45" t="n"/>
      <c r="L31" s="45" t="n"/>
      <c r="M31" s="45" t="n"/>
    </row>
    <row r="32" ht="15" customHeight="1" s="26">
      <c r="A32" s="45" t="n"/>
      <c r="B32" s="45" t="n"/>
      <c r="C32" s="45" t="n"/>
      <c r="D32" s="45" t="n"/>
      <c r="E32" s="45" t="n"/>
      <c r="F32" s="49">
        <f>IF(OR(D32="",E32=""),"",MATCH(D32,{"Bassa","Media","Alta"},0)*MATCH(E32,{"Bassa","Media","Alta"},0))</f>
        <v/>
      </c>
      <c r="G32" s="45" t="n"/>
      <c r="H32" s="45" t="n"/>
      <c r="I32" s="45" t="n"/>
      <c r="J32" s="45" t="n"/>
      <c r="K32" s="45" t="n"/>
      <c r="L32" s="45" t="n"/>
      <c r="M32" s="45" t="n"/>
    </row>
    <row r="33" ht="15" customHeight="1" s="26">
      <c r="A33" s="45" t="n"/>
      <c r="B33" s="45" t="n"/>
      <c r="C33" s="45" t="n"/>
      <c r="D33" s="45" t="n"/>
      <c r="E33" s="45" t="n"/>
      <c r="F33" s="49">
        <f>IF(OR(D33="",E33=""),"",MATCH(D33,{"Bassa","Media","Alta"},0)*MATCH(E33,{"Bassa","Media","Alta"},0))</f>
        <v/>
      </c>
      <c r="G33" s="45" t="n"/>
      <c r="H33" s="45" t="n"/>
      <c r="I33" s="45" t="n"/>
      <c r="J33" s="45" t="n"/>
      <c r="K33" s="45" t="n"/>
      <c r="L33" s="45" t="n"/>
      <c r="M33" s="45" t="n"/>
    </row>
    <row r="34" ht="15" customHeight="1" s="26">
      <c r="A34" s="45" t="n"/>
      <c r="B34" s="45" t="n"/>
      <c r="C34" s="45" t="n"/>
      <c r="D34" s="45" t="n"/>
      <c r="E34" s="45" t="n"/>
      <c r="F34" s="49">
        <f>IF(OR(D34="",E34=""),"",MATCH(D34,{"Bassa","Media","Alta"},0)*MATCH(E34,{"Bassa","Media","Alta"},0))</f>
        <v/>
      </c>
      <c r="G34" s="45" t="n"/>
      <c r="H34" s="45" t="n"/>
      <c r="I34" s="45" t="n"/>
      <c r="J34" s="45" t="n"/>
      <c r="K34" s="45" t="n"/>
      <c r="L34" s="45" t="n"/>
      <c r="M34" s="45" t="n"/>
    </row>
    <row r="35" ht="15" customHeight="1" s="26">
      <c r="A35" s="45" t="n"/>
      <c r="B35" s="45" t="n"/>
      <c r="C35" s="45" t="n"/>
      <c r="D35" s="45" t="n"/>
      <c r="E35" s="45" t="n"/>
      <c r="F35" s="49">
        <f>IF(OR(D35="",E35=""),"",MATCH(D35,{"Bassa","Media","Alta"},0)*MATCH(E35,{"Bassa","Media","Alta"},0))</f>
        <v/>
      </c>
      <c r="G35" s="45" t="n"/>
      <c r="H35" s="45" t="n"/>
      <c r="I35" s="45" t="n"/>
      <c r="J35" s="45" t="n"/>
      <c r="K35" s="45" t="n"/>
      <c r="L35" s="45" t="n"/>
      <c r="M35" s="45" t="n"/>
    </row>
    <row r="36" ht="15" customHeight="1" s="26">
      <c r="A36" s="45" t="n"/>
      <c r="B36" s="45" t="n"/>
      <c r="C36" s="45" t="n"/>
      <c r="D36" s="45" t="n"/>
      <c r="E36" s="45" t="n"/>
      <c r="F36" s="49">
        <f>IF(OR(D36="",E36=""),"",MATCH(D36,{"Bassa","Media","Alta"},0)*MATCH(E36,{"Bassa","Media","Alta"},0))</f>
        <v/>
      </c>
      <c r="G36" s="45" t="n"/>
      <c r="H36" s="45" t="n"/>
      <c r="I36" s="45" t="n"/>
      <c r="J36" s="45" t="n"/>
      <c r="K36" s="45" t="n"/>
      <c r="L36" s="45" t="n"/>
      <c r="M36" s="45" t="n"/>
    </row>
    <row r="37" ht="15" customHeight="1" s="26">
      <c r="A37" s="45" t="n"/>
      <c r="B37" s="45" t="n"/>
      <c r="C37" s="45" t="n"/>
      <c r="D37" s="45" t="n"/>
      <c r="E37" s="45" t="n"/>
      <c r="F37" s="49">
        <f>IF(OR(D37="",E37=""),"",MATCH(D37,{"Bassa","Media","Alta"},0)*MATCH(E37,{"Bassa","Media","Alta"},0))</f>
        <v/>
      </c>
      <c r="G37" s="45" t="n"/>
      <c r="H37" s="45" t="n"/>
      <c r="I37" s="45" t="n"/>
      <c r="J37" s="45" t="n"/>
      <c r="K37" s="45" t="n"/>
      <c r="L37" s="45" t="n"/>
      <c r="M37" s="45" t="n"/>
    </row>
    <row r="38" ht="15" customHeight="1" s="26">
      <c r="A38" s="45" t="n"/>
      <c r="B38" s="45" t="n"/>
      <c r="C38" s="45" t="n"/>
      <c r="D38" s="45" t="n"/>
      <c r="E38" s="45" t="n"/>
      <c r="F38" s="49">
        <f>IF(OR(D38="",E38=""),"",MATCH(D38,{"Bassa","Media","Alta"},0)*MATCH(E38,{"Bassa","Media","Alta"},0))</f>
        <v/>
      </c>
      <c r="G38" s="45" t="n"/>
      <c r="H38" s="45" t="n"/>
      <c r="I38" s="45" t="n"/>
      <c r="J38" s="45" t="n"/>
      <c r="K38" s="45" t="n"/>
      <c r="L38" s="45" t="n"/>
      <c r="M38" s="45" t="n"/>
    </row>
    <row r="39" ht="15" customHeight="1" s="26">
      <c r="A39" s="45" t="n"/>
      <c r="B39" s="45" t="n"/>
      <c r="C39" s="45" t="n"/>
      <c r="D39" s="45" t="n"/>
      <c r="E39" s="45" t="n"/>
      <c r="F39" s="49">
        <f>IF(OR(D39="",E39=""),"",MATCH(D39,{"Bassa","Media","Alta"},0)*MATCH(E39,{"Bassa","Media","Alta"},0))</f>
        <v/>
      </c>
      <c r="G39" s="45" t="n"/>
      <c r="H39" s="45" t="n"/>
      <c r="I39" s="45" t="n"/>
      <c r="J39" s="45" t="n"/>
      <c r="K39" s="45" t="n"/>
      <c r="L39" s="45" t="n"/>
      <c r="M39" s="45" t="n"/>
    </row>
  </sheetData>
  <autoFilter ref="A1:M39"/>
  <conditionalFormatting sqref="F2:F39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39">
    <cfRule type="expression" rank="0" priority="5" equalAverage="0" aboveAverage="0" dxfId="8" text="" percent="0" bottom="0">
      <formula>$K2="Chiuso"</formula>
    </cfRule>
  </conditionalFormatting>
  <dataValidations count="4">
    <dataValidation sqref="D2:D39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39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39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39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2026-10-23T18:30:45Z</dcterms:modified>
  <cp:revision>0</cp:revision>
</cp:coreProperties>
</file>