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Decisioni" sheetId="2" state="visible" r:id="rId4"/>
    <sheet name="Requisiti" sheetId="3" state="visible" r:id="rId5"/>
    <sheet name="Rischi" sheetId="4" state="visible" r:id="rId6"/>
    <sheet name="Liste" sheetId="5" state="hidden" r:id="rId7"/>
  </sheets>
  <definedNames>
    <definedName function="false" hidden="true" localSheetId="1" name="_xlnm._FilterDatabase" vbProcedure="false">Decisioni!$A$1:$O$52</definedName>
    <definedName function="false" hidden="true" localSheetId="2" name="_xlnm._FilterDatabase" vbProcedure="false">Requisiti!$A$1:$I$44</definedName>
    <definedName function="false" hidden="true" localSheetId="3" name="_xlnm._FilterDatabase" vbProcedure="false">Rischi!$A$1:$M$39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<sst xmlns="http://schemas.openxmlformats.org/spreadsheetml/2006/main" count="985" uniqueCount="545">
  <si>
    <t xml:space="preserve">PULSE – Registro di decisioni, requisiti e rischi</t>
  </si>
  <si>
    <t xml:space="preserve">Giuliano Pennacchio · Giuseppe Parisi — aggiornare a ogni decisione presa, anche lavorando da soli</t>
  </si>
  <si>
    <t xml:space="preserve">Come si usa</t>
  </si>
  <si>
    <t xml:space="preserve">1. Prima di aprire il file</t>
  </si>
  <si>
    <t xml:space="preserve">git pull: il file Excel non si unisce automaticamente, quindi lo modifica una persona alla volta.</t>
  </si>
  <si>
    <t xml:space="preserve">2. Nuova decisione</t>
  </si>
  <si>
    <t xml:space="preserve">Una riga nel foglio Decisioni, con ID progressivo (D-032, D-033…) e stato "Proposta".</t>
  </si>
  <si>
    <t xml:space="preserve">3. Revisione</t>
  </si>
  <si>
    <t xml:space="preserve">L'altro la legge e la porta ad "Approvata", oppure la discute. Le decisioni prese insieme nascono "Approvata".</t>
  </si>
  <si>
    <t xml:space="preserve">4. Cambiare idea</t>
  </si>
  <si>
    <t xml:space="preserve">Non cancellare mai una riga: metti "Superata" e scrivi l'ID della nuova in "Superata da".</t>
  </si>
  <si>
    <t xml:space="preserve">5. Collegamenti</t>
  </si>
  <si>
    <t xml:space="preserve">Ogni decisione indica i requisiti (MR-, LR-, DR-) e i rischi (R-) che tocca; ogni requisito e rischio indica la decisione d'origine.</t>
  </si>
  <si>
    <t xml:space="preserve">6. Dopo la modifica</t>
  </si>
  <si>
    <t xml:space="preserve">git commit + push subito, con messaggio tipo "registro: D-032 esposizione notturna".</t>
  </si>
  <si>
    <t xml:space="preserve">Celle da compilare</t>
  </si>
  <si>
    <t xml:space="preserve">Tutte le colonne tranne "Criticità" nel foglio Rischi (calcolata = Probabilità × Impatto, 1–9). Le colonne con menu a tendina accettano solo i valori della lista.</t>
  </si>
  <si>
    <t xml:space="preserve">Stati</t>
  </si>
  <si>
    <t xml:space="preserve">Aperta</t>
  </si>
  <si>
    <t xml:space="preserve">Da decidere: domanda aperta, con le opzioni in discussione</t>
  </si>
  <si>
    <t xml:space="preserve">Proposta</t>
  </si>
  <si>
    <t xml:space="preserve">Presa da uno dei due, in attesa che l'altro la veda</t>
  </si>
  <si>
    <t xml:space="preserve">Approvata</t>
  </si>
  <si>
    <t xml:space="preserve">Vista da entrambi: è la baseline</t>
  </si>
  <si>
    <t xml:space="preserve">Provvisoria</t>
  </si>
  <si>
    <t xml:space="preserve">Vale finché un passo successivo non la conferma</t>
  </si>
  <si>
    <t xml:space="preserve">Superata</t>
  </si>
  <si>
    <t xml:space="preserve">Sostituita da un'altra decisione (vedi "Superata da")</t>
  </si>
  <si>
    <t xml:space="preserve">Riepilogo decisioni</t>
  </si>
  <si>
    <t xml:space="preserve">Stato</t>
  </si>
  <si>
    <t xml:space="preserve">Giuliano</t>
  </si>
  <si>
    <t xml:space="preserve">Giuseppe</t>
  </si>
  <si>
    <t xml:space="preserve">Entrambi</t>
  </si>
  <si>
    <t xml:space="preserve">Totale</t>
  </si>
  <si>
    <t xml:space="preserve">Riepilogo requisiti e rischi</t>
  </si>
  <si>
    <t xml:space="preserve">Requisiti approvati</t>
  </si>
  <si>
    <t xml:space="preserve">Requisiti TBC / TBD</t>
  </si>
  <si>
    <t xml:space="preserve">Rischi non chiusi</t>
  </si>
  <si>
    <t xml:space="preserve">Rischi con criticità ≥ 6</t>
  </si>
  <si>
    <t xml:space="preserve">Rischi senza probabilità</t>
  </si>
  <si>
    <t xml:space="preserve">Fonti delle righe precompilate</t>
  </si>
  <si>
    <t xml:space="preserve">Report MDR (Fase 0), Report A1-A1bis, Report A2, Report A3 e prompt di passaggio del progetto. Le date di Fase 0 sono quelle della Guida (1 ottobre 2026); l'autore delle decisioni passate è "Entrambi": correggete dove serve.</t>
  </si>
  <si>
    <t xml:space="preserve">ID</t>
  </si>
  <si>
    <t xml:space="preserve">Data</t>
  </si>
  <si>
    <t xml:space="preserve">Fase / passo</t>
  </si>
  <si>
    <t xml:space="preserve">Autore</t>
  </si>
  <si>
    <t xml:space="preserve">Area</t>
  </si>
  <si>
    <t xml:space="preserve">Decisione</t>
  </si>
  <si>
    <t xml:space="preserve">Opzioni scartate</t>
  </si>
  <si>
    <t xml:space="preserve">Motivo</t>
  </si>
  <si>
    <t xml:space="preserve">Impatto su</t>
  </si>
  <si>
    <t xml:space="preserve">Requisiti collegati</t>
  </si>
  <si>
    <t xml:space="preserve">Rischi collegati</t>
  </si>
  <si>
    <t xml:space="preserve">Superata da</t>
  </si>
  <si>
    <t xml:space="preserve">Riferimento</t>
  </si>
  <si>
    <t xml:space="preserve">Note</t>
  </si>
  <si>
    <t xml:space="preserve">D-001</t>
  </si>
  <si>
    <t xml:space="preserve">Fase 0</t>
  </si>
  <si>
    <t xml:space="preserve">Missione</t>
  </si>
  <si>
    <t xml:space="preserve">Utente di riferimento: Protezione Civile italiana</t>
  </si>
  <si>
    <t xml:space="preserve">—</t>
  </si>
  <si>
    <t xml:space="preserve">Utente reale con bisogno di mappe rapide; confronto con Copernicus EMS e International Charter</t>
  </si>
  <si>
    <t xml:space="preserve">Tutti i requisiti</t>
  </si>
  <si>
    <t xml:space="preserve">Report MDR §2</t>
  </si>
  <si>
    <t xml:space="preserve">D-002</t>
  </si>
  <si>
    <t xml:space="preserve">Eventi: di giorno danni a infrastrutture (terremoti, frane, crolli), alluvioni, incendi; di notte incendi, blackout, danni indiretti dalle luci</t>
  </si>
  <si>
    <t xml:space="preserve">Solo eventi a cielo sereno</t>
  </si>
  <si>
    <t xml:space="preserve">Le alluvioni sono il caso più frequente; il limite delle nuvole è dichiarato</t>
  </si>
  <si>
    <t xml:space="preserve">Payload, AI</t>
  </si>
  <si>
    <t xml:space="preserve">MR-06, MR-07, MR-08</t>
  </si>
  <si>
    <t xml:space="preserve">R-03, R-08</t>
  </si>
  <si>
    <t xml:space="preserve">Report MDR §2, §4.6</t>
  </si>
  <si>
    <t xml:space="preserve">D-003</t>
  </si>
  <si>
    <t xml:space="preserve">Area: tutta Italia, 5°E–20°E, 35°N–48°N</t>
  </si>
  <si>
    <t xml:space="preserve">Copertura globale</t>
  </si>
  <si>
    <t xml:space="preserve">Come EarthNext; dimensiona rete di terra e dati di riferimento</t>
  </si>
  <si>
    <t xml:space="preserve">Accessi, dati OSM/DEM</t>
  </si>
  <si>
    <t xml:space="preserve">MR-01</t>
  </si>
  <si>
    <t xml:space="preserve">D-004</t>
  </si>
  <si>
    <t xml:space="preserve">Payload</t>
  </si>
  <si>
    <t xml:space="preserve">Livello di dettaglio: infrastrutture e crolli estesi (ponti, strade, isolati), non singoli edifici; 16U a ~1–1,5 m</t>
  </si>
  <si>
    <t xml:space="preserve">Microsatellite 50–150 kg per &lt; 0,5 m; quota ~250 km</t>
  </si>
  <si>
    <t xml:space="preserve">Con 12 cm di apertura il limite di diffrazione a 302 km è 1,7 m; per 0,5 m servirebbero ~40 cm</t>
  </si>
  <si>
    <t xml:space="preserve">Ottica</t>
  </si>
  <si>
    <t xml:space="preserve">MR-03</t>
  </si>
  <si>
    <t xml:space="preserve">R-01</t>
  </si>
  <si>
    <t xml:space="preserve">Report MDR §4.1</t>
  </si>
  <si>
    <t xml:space="preserve">D-005</t>
  </si>
  <si>
    <t xml:space="preserve">Tempo di risposta: mappa entro 48 h dalla richiesta</t>
  </si>
  <si>
    <t xml:space="preserve">6 h, 24 h, 72 h</t>
  </si>
  <si>
    <t xml:space="preserve">Utile ai soccorsi e credibile per una CubeSat in VLEO</t>
  </si>
  <si>
    <t xml:space="preserve">Numero satelliti, rete di terra</t>
  </si>
  <si>
    <t xml:space="preserve">MR-02</t>
  </si>
  <si>
    <t xml:space="preserve">R-08</t>
  </si>
  <si>
    <t xml:space="preserve">Report MDR §2, §6</t>
  </si>
  <si>
    <t xml:space="preserve">D-006</t>
  </si>
  <si>
    <t xml:space="preserve">GNC</t>
  </si>
  <si>
    <t xml:space="preserve">Off-nadir: qualità nominale fino a 30°, puntamento fino a 45° in modalità degradata</t>
  </si>
  <si>
    <t xml:space="preserve">20° massimi; 45° nominali</t>
  </si>
  <si>
    <t xml:space="preserve">Compromesso tra frequenza degli accessi e risoluzione</t>
  </si>
  <si>
    <t xml:space="preserve">Accessi, GNC, ottica</t>
  </si>
  <si>
    <t xml:space="preserve">MR-05</t>
  </si>
  <si>
    <t xml:space="preserve">R-06</t>
  </si>
  <si>
    <t xml:space="preserve">Report MDR</t>
  </si>
  <si>
    <t xml:space="preserve">D-007</t>
  </si>
  <si>
    <t xml:space="preserve">AI / Dati</t>
  </si>
  <si>
    <t xml:space="preserve">Prodotto: vettori georeferenziati (GIS) + ritaglio d'immagine per ogni allarme</t>
  </si>
  <si>
    <t xml:space="preserve">Immagini intere a terra</t>
  </si>
  <si>
    <t xml:space="preserve">Pochi kB per allarme: passano anche in S-band; si apre su tablet sul campo</t>
  </si>
  <si>
    <t xml:space="preserve">TT&amp;C, AI</t>
  </si>
  <si>
    <t xml:space="preserve">MR-09</t>
  </si>
  <si>
    <t xml:space="preserve">Report MDR §4.6</t>
  </si>
  <si>
    <t xml:space="preserve">D-008</t>
  </si>
  <si>
    <t xml:space="preserve">Riferimento "prima" a bordo: vettori OpenStreetMap + DEM (~670 MB a 30 m)</t>
  </si>
  <si>
    <t xml:space="preserve">Immagini delle zone a rischio a bordo; solo passaggio precedente (resta complemento)</t>
  </si>
  <si>
    <t xml:space="preserve">L'Italia a 1 m sarebbe centinaia di GB: non entra a bordo né si carica via radio</t>
  </si>
  <si>
    <t xml:space="preserve">Memoria di bordo, AI</t>
  </si>
  <si>
    <t xml:space="preserve">MR-10</t>
  </si>
  <si>
    <t xml:space="preserve">R-05</t>
  </si>
  <si>
    <t xml:space="preserve">Report MDR §4.5</t>
  </si>
  <si>
    <t xml:space="preserve">D-009</t>
  </si>
  <si>
    <t xml:space="preserve">Tipo di missione: dimostratore tecnologico su CubeSat 16U, ~2 anni operativi</t>
  </si>
  <si>
    <t xml:space="preserve">Missione operativa</t>
  </si>
  <si>
    <t xml:space="preserve">Coerente con EarthNext e con un progetto da portfolio</t>
  </si>
  <si>
    <t xml:space="preserve">Budget, ΔV</t>
  </si>
  <si>
    <t xml:space="preserve">MR-12, MR-13</t>
  </si>
  <si>
    <t xml:space="preserve">Report MDR §3</t>
  </si>
  <si>
    <t xml:space="preserve">D-010</t>
  </si>
  <si>
    <t xml:space="preserve">Payload solo al silicio: CMOS diurno (PAN + RGB-NIR) + sCMOS notturno dual-gain con FMC e binning</t>
  </si>
  <si>
    <t xml:space="preserve">CMOS + InGaAs SWIR; tre sensori ottici; micro-SAR su 16U</t>
  </si>
  <si>
    <t xml:space="preserve">Vede incendi e blackout senza raffreddamento; SAR troppo costoso in potenza e cieco a blackout</t>
  </si>
  <si>
    <t xml:space="preserve">Ottica, potenza</t>
  </si>
  <si>
    <t xml:space="preserve">MR-03, MR-04</t>
  </si>
  <si>
    <t xml:space="preserve">R-02</t>
  </si>
  <si>
    <t xml:space="preserve">Report MDR §4.2</t>
  </si>
  <si>
    <t xml:space="preserve">D-011</t>
  </si>
  <si>
    <t xml:space="preserve">Risoluzione: ≤ 2 m PAN e ≤ 5 m multispettrale di giorno a nadir; ≤ 15 m di notte su aree illuminate</t>
  </si>
  <si>
    <t xml:space="preserve">GSD PAN &lt; 1 m con 12 cm</t>
  </si>
  <si>
    <t xml:space="preserve">Dettaglio reale ~2 m per diffrazione; sotto 1 m 4× meno luce e 4× più dati</t>
  </si>
  <si>
    <t xml:space="preserve">D-012</t>
  </si>
  <si>
    <t xml:space="preserve">Orbita</t>
  </si>
  <si>
    <t xml:space="preserve">Orbita come EarthNext: 302 km (SMA media 6680,2 km), SSO, LTDN 10:30, e = 0,0011, AOP 90°, inclinazione 96,8° (bias)</t>
  </si>
  <si>
    <t xml:space="preserve">Inclinazione 51,6° (non eliosincrona)</t>
  </si>
  <si>
    <t xml:space="preserve">Eredità EarthNext; il bias compensa la deriva solare di −0,33°/anno; ora locale stabile</t>
  </si>
  <si>
    <t xml:space="preserve">Accessi, ΔV</t>
  </si>
  <si>
    <t xml:space="preserve">MR-11</t>
  </si>
  <si>
    <t xml:space="preserve">Report MDR §4.3</t>
  </si>
  <si>
    <t xml:space="preserve">Lo 0,011 in una tabella del paper è un refuso</t>
  </si>
  <si>
    <t xml:space="preserve">D-013</t>
  </si>
  <si>
    <t xml:space="preserve">Allarme blackout notturno solo se confermato, non "possibile"; metodo da trovare</t>
  </si>
  <si>
    <t xml:space="preserve">Allarme "possibile"</t>
  </si>
  <si>
    <t xml:space="preserve">Un falso blackout manda soccorsi nel posto sbagliato</t>
  </si>
  <si>
    <t xml:space="preserve">A4</t>
  </si>
  <si>
    <t xml:space="preserve">MR-07</t>
  </si>
  <si>
    <t xml:space="preserve">R-03</t>
  </si>
  <si>
    <t xml:space="preserve">Da chiudere in A4</t>
  </si>
  <si>
    <t xml:space="preserve">D-014</t>
  </si>
  <si>
    <t xml:space="preserve">Due concetti candidati in Fase A: C1 satellite singolo, C2 costellazione di 4 sullo stesso piano a 90°</t>
  </si>
  <si>
    <t xml:space="preserve">Scelta del concetto già in Fase 0</t>
  </si>
  <si>
    <t xml:space="preserve">Stima di primo ordine: attesa media ~65 h con 1 satellite, ~16 h con 4 (30°); serve la propagazione</t>
  </si>
  <si>
    <t xml:space="preserve">A1</t>
  </si>
  <si>
    <t xml:space="preserve">R-10</t>
  </si>
  <si>
    <t xml:space="preserve">D-015</t>
  </si>
  <si>
    <t xml:space="preserve">Report MDR §4.4, §5</t>
  </si>
  <si>
    <t xml:space="preserve">Chiusura MDR</t>
  </si>
  <si>
    <t xml:space="preserve">Concetto scelto: C2, costellazione di 4 CubeSat 16U sullo stesso piano SSO, anomalia media 0°/90°/180°/270° (opzione I3)</t>
  </si>
  <si>
    <t xml:space="preserve">I1 rilassare il requisito; I2 45° nominali; I4 cambiare orbita; due piani opposti; inclinazione 51,6°</t>
  </si>
  <si>
    <t xml:space="preserve">Satellite singolo: entro 48 h solo nel 34–82% dei casi (serve 90%). Con 4: 100% entro 48 h a 30° giorno+notte, mediana 14–18 h</t>
  </si>
  <si>
    <t xml:space="preserve">ΔV, lancio, costi, operazioni</t>
  </si>
  <si>
    <t xml:space="preserve">MR-02, MR-11</t>
  </si>
  <si>
    <t xml:space="preserve">Report A1-A1bis Parte 1–2</t>
  </si>
  <si>
    <t xml:space="preserve">D-016</t>
  </si>
  <si>
    <t xml:space="preserve">TT&amp;C / Terra</t>
  </si>
  <si>
    <t xml:space="preserve">Rete di terra: Svalbard + Fairbanks principali, Fucino riserva e comandi (elevazione minima 10°)</t>
  </si>
  <si>
    <t xml:space="preserve">Fucino + Matera + Svalbard (buco notturno 12,1 h)</t>
  </si>
  <si>
    <t xml:space="preserve">Fairbanks chiude il buco notturno: buco massimo 8,8 h per satellite, 7,0 h per la costellazione</t>
  </si>
  <si>
    <t xml:space="preserve">Link budget, latenza</t>
  </si>
  <si>
    <t xml:space="preserve">Report A1-A1bis Parte 2</t>
  </si>
  <si>
    <t xml:space="preserve">D-017</t>
  </si>
  <si>
    <t xml:space="preserve">Nuova formulazione di MR-02 (48 h nel 90% delle richieste; di giorno ammesso fino a 45°)</t>
  </si>
  <si>
    <t xml:space="preserve">48 h nel 90% solo a 30°</t>
  </si>
  <si>
    <t xml:space="preserve">Solo diurno a 30° si arriva all'89,6–93,3%; a 45° al 100%</t>
  </si>
  <si>
    <t xml:space="preserve">GNC, ottica</t>
  </si>
  <si>
    <t xml:space="preserve">D-018</t>
  </si>
  <si>
    <t xml:space="preserve">A1-bis</t>
  </si>
  <si>
    <t xml:space="preserve">Lancio</t>
  </si>
  <si>
    <t xml:space="preserve">Rilascio dal lanciatore (o rimorchiatore) già sul piano SSO a 96,8°, LTDN ~10:30, a ~360 km</t>
  </si>
  <si>
    <t xml:space="preserve">Rilascio a 500 km con discesa impulsiva (111,9 m/s): resta piano B</t>
  </si>
  <si>
    <t xml:space="preserve">Nessun ΔV per il piano; la discesa da 360 km costa solo ~28 m/s</t>
  </si>
  <si>
    <t xml:space="preserve">Propulsione, programma</t>
  </si>
  <si>
    <t xml:space="preserve">LR-01</t>
  </si>
  <si>
    <t xml:space="preserve">R-11</t>
  </si>
  <si>
    <t xml:space="preserve">Report A1-A1bis Parte 3</t>
  </si>
  <si>
    <t xml:space="preserve">Tolleranze di lancio da definire</t>
  </si>
  <si>
    <t xml:space="preserve">D-019</t>
  </si>
  <si>
    <t xml:space="preserve">Phasing con discese scaglionate, senza manovre dedicate: ritardi B 1,37 g, C 2,74 g, D 4,10 g</t>
  </si>
  <si>
    <t xml:space="preserve">Manovre di phasing dedicate</t>
  </si>
  <si>
    <t xml:space="preserve">Ogni giorno di ritardo vale ~66° di distanza; costellazione completa in ~42 giorni con 2 m/s di ritocco</t>
  </si>
  <si>
    <t xml:space="preserve">Operazioni di commissioning</t>
  </si>
  <si>
    <t xml:space="preserve">Distanza stabile entro ±0,2° in mantenimento</t>
  </si>
  <si>
    <t xml:space="preserve">D-020</t>
  </si>
  <si>
    <t xml:space="preserve">Durata di progetto 2 anni con attività solare media (F10.7 = 129); caso alto solo come sensibilità</t>
  </si>
  <si>
    <t xml:space="preserve">Caso alto F10.7 = 181 come riferimento (464 m/s)</t>
  </si>
  <si>
    <t xml:space="preserve">Caso medio coerente con EarthNext (~6 mesi di discesa naturale)</t>
  </si>
  <si>
    <t xml:space="preserve">ΔV, massa</t>
  </si>
  <si>
    <t xml:space="preserve">MR-12</t>
  </si>
  <si>
    <t xml:space="preserve">R-12</t>
  </si>
  <si>
    <t xml:space="preserve">D-021</t>
  </si>
  <si>
    <t xml:space="preserve">Propulsione</t>
  </si>
  <si>
    <t xml:space="preserve">Discesa 360 → 302 km con motore + drag, motore acceso il 50% del tempo</t>
  </si>
  <si>
    <t xml:space="preserve">Discesa solo con il drag (4–10 mesi)</t>
  </si>
  <si>
    <t xml:space="preserve">Con il motore la discesa dura ~5 settimane</t>
  </si>
  <si>
    <t xml:space="preserve">Potenza, commissioning</t>
  </si>
  <si>
    <t xml:space="preserve">D-022</t>
  </si>
  <si>
    <t xml:space="preserve">Budget ΔV: 269 m/s per satellite (~1,5 kg di iodio) = 28 discesa + 2 phasing + 194 mantenimento + 45 margine 20%</t>
  </si>
  <si>
    <t xml:space="preserve">464 m/s (caso solare alto)</t>
  </si>
  <si>
    <t xml:space="preserve">Missione 2 anni, F10.7 = 129; in linea con EarthNext (&gt; 275 m/s in 3 anni)</t>
  </si>
  <si>
    <t xml:space="preserve">Serbatoio, massa (A5)</t>
  </si>
  <si>
    <t xml:space="preserve">DR-06, DR-07</t>
  </si>
  <si>
    <t xml:space="preserve">R-12, R-13</t>
  </si>
  <si>
    <t xml:space="preserve">D-023</t>
  </si>
  <si>
    <t xml:space="preserve">Nessun ΔV allocato per il rientro</t>
  </si>
  <si>
    <t xml:space="preserve">Manovra di deorbit</t>
  </si>
  <si>
    <t xml:space="preserve">Da 302 km, a motore spento, il satellite rientra da solo in pochi mesi</t>
  </si>
  <si>
    <t xml:space="preserve">MR-14</t>
  </si>
  <si>
    <t xml:space="preserve">D-024</t>
  </si>
  <si>
    <t xml:space="preserve">A2</t>
  </si>
  <si>
    <t xml:space="preserve">PAN a 1,5 m a nadir: focale 0,70 m, F/5,8, Q = 0,92, strisciata 9,7 km (CMOS 6464 × 4852 px da 3,45 µm)</t>
  </si>
  <si>
    <t xml:space="preserve">GSD 1,0 m (F/8,7); 2,0 m (F/4,3); 2,5 m (aliasing)</t>
  </si>
  <si>
    <t xml:space="preserve">Pixel poco più piccolo del limite di diffrazione (1,7 m): ottica e sensore bilanciati</t>
  </si>
  <si>
    <t xml:space="preserve">Struttura, termico, dati</t>
  </si>
  <si>
    <t xml:space="preserve">MR-03, DR-01, DR-02, DR-03</t>
  </si>
  <si>
    <t xml:space="preserve">R-18</t>
  </si>
  <si>
    <t xml:space="preserve">Report A2</t>
  </si>
  <si>
    <t xml:space="preserve">D-025</t>
  </si>
  <si>
    <t xml:space="preserve">RGB-NIR (B, G, R, NIR) a 3,0 m con binning 2×2 e filtri a strisce sullo stesso sensore; pansharpening a 1,5 m</t>
  </si>
  <si>
    <t xml:space="preserve">Colore a 1,5 m (4× i dati); colore a 6,0 m</t>
  </si>
  <si>
    <t xml:space="preserve">Il colore serve per aree estese (acqua, bruciato, frane): 3 m bastano; dati pari al PAN</t>
  </si>
  <si>
    <t xml:space="preserve">ADCS (riallineamento bande), dati</t>
  </si>
  <si>
    <t xml:space="preserve">MR-03, DR-05</t>
  </si>
  <si>
    <t xml:space="preserve">R-15</t>
  </si>
  <si>
    <t xml:space="preserve">D-026</t>
  </si>
  <si>
    <t xml:space="preserve">Notturno: sCMOS 2048 × 2048 px da 11 µm, GSD 4,8 m, strisciata 9,8 km (9,6 m con binning 2×2)</t>
  </si>
  <si>
    <t xml:space="preserve">Pixel 6,5 µm (2,8 m, 1× luce); 4096 × 4096 da 9 µm (campo troppo ampio)</t>
  </si>
  <si>
    <t xml:space="preserve">Di notte il limite è la luce: 2,9× la luce del pixel da 6,5 µm; stessa strisciata del diurno</t>
  </si>
  <si>
    <t xml:space="preserve">A3, dati</t>
  </si>
  <si>
    <t xml:space="preserve">MR-04, DR-04</t>
  </si>
  <si>
    <t xml:space="preserve">R-16, R-17</t>
  </si>
  <si>
    <t xml:space="preserve">Confermata in A3 (D-031): pixel da 11 µm definitivo</t>
  </si>
  <si>
    <t xml:space="preserve">D-027</t>
  </si>
  <si>
    <t xml:space="preserve">Piano focale: sensore diurno e notturno affiancati lungo traccia, campo pieno ~3,9° (diagonale)</t>
  </si>
  <si>
    <t xml:space="preserve">Specchi aggiuntivi o parti mobili</t>
  </si>
  <si>
    <t xml:space="preserve">Campo normale per un TMA fuori asse; nessuna parte mobile</t>
  </si>
  <si>
    <t xml:space="preserve">Struttura del telescopio</t>
  </si>
  <si>
    <t xml:space="preserve">D-028</t>
  </si>
  <si>
    <t xml:space="preserve">A3</t>
  </si>
  <si>
    <t xml:space="preserve">Gestione</t>
  </si>
  <si>
    <t xml:space="preserve">Divisione del lavoro: Giuseppe su payload + AI + potenza/termico del payload; Giuliano su missione + GNC + TT&amp;C; budget, requisiti e A6 in comune</t>
  </si>
  <si>
    <t xml:space="preserve">Lavorare insieme sullo stesso passo</t>
  </si>
  <si>
    <t xml:space="preserve">Lavoro in parallelo sui passi rimasti della Fase A</t>
  </si>
  <si>
    <t xml:space="preserve">A3, A4, A5, A6</t>
  </si>
  <si>
    <t xml:space="preserve">D-029</t>
  </si>
  <si>
    <t xml:space="preserve">Scena di progetto notturna: SNR ≥ 10 su quartiere da 20 nW/cm²/sr a 4,8 m (~100 e⁻, ~170 ms di luce)</t>
  </si>
  <si>
    <t xml:space="preserve">SNR 5 sul quartiere (granuloso); SNR 10 sul paese a 4,8 m (670 ms, deriva &lt; 0,0005°/s); SNR 10 su Napoli centro (paesi invisibili)</t>
  </si>
  <si>
    <t xml:space="preserve">Con SNR 10 si vedono strade e confine del blackout; il paese a 4,8 m chiede una stabilità fuori portata e la luna piena (~7 nW) è più luminosa del paese</t>
  </si>
  <si>
    <t xml:space="preserve">Esposizione, FMC, A5 dati</t>
  </si>
  <si>
    <t xml:space="preserve">MR-04, DR-09</t>
  </si>
  <si>
    <t xml:space="preserve">R-02, R-16, R-19, R-20</t>
  </si>
  <si>
    <t xml:space="preserve">Report A3, Decisione 1</t>
  </si>
  <si>
    <t xml:space="preserve">Riguarda solo il payload</t>
  </si>
  <si>
    <t xml:space="preserve">D-030</t>
  </si>
  <si>
    <t xml:space="preserve">Shift-and-add: scatti da 20 ms presi durante la FMC, riallineati e sommati a bordo (10 scatti città = ~200 ms); a terra una sola immagine</t>
  </si>
  <si>
    <t xml:space="preserve">Scatto unico 170 ms (deriva &lt; 0,0018°/s, saturazione); ibrido 4 × 50 ms (deriva &lt; 0,006°/s)</t>
  </si>
  <si>
    <t xml:space="preserve">Stabilità 8 volte più facile (deriva &lt; 0,015°/s per scatto), scatti mossi scartabili, niente saturazione; costa ~15% di luce in più</t>
  </si>
  <si>
    <t xml:space="preserve">GNC (stabilità, durata FMC), scheda AI</t>
  </si>
  <si>
    <t xml:space="preserve">DR-04, DR-10, DR-11</t>
  </si>
  <si>
    <t xml:space="preserve">R-06, R-21</t>
  </si>
  <si>
    <t xml:space="preserve">Report A3, Decisione 2</t>
  </si>
  <si>
    <t xml:space="preserve">Proposta: cambia i numeri dell'ADCS di Giuliano (deriva 0,015°/s, inseguimento 0,36 s)</t>
  </si>
  <si>
    <t xml:space="preserve">D-031</t>
  </si>
  <si>
    <t xml:space="preserve">Binning adattivo a bordo: città 1×1 (4,8 m, 10 scatti); paesi 2×2 (9,6 m, 15 scatti = 300 ms, SNR 10); 3×3 (14,4 m) di riserva. Pixel 11 µm confermato</t>
  </si>
  <si>
    <t xml:space="preserve">Paesi in 3×3 come modalità nominale (solo acceso/spento); pixel 6,5 µm con 2×2 (strisciata 5,8 km, 4× dati letti)</t>
  </si>
  <si>
    <t xml:space="preserve">Il 2×2 mostra quali vie del paese sono al buio; il 3×3 resta se in A5 scarico o stabilità ADCS risultano stretti</t>
  </si>
  <si>
    <t xml:space="preserve">D-026, GNC (durata FMC 300 ms), A5 dati (6,3 / 1,6 / 0,7 MB)</t>
  </si>
  <si>
    <t xml:space="preserve">MR-04, DR-09, DR-11</t>
  </si>
  <si>
    <t xml:space="preserve">Report A3, Decisione 3</t>
  </si>
  <si>
    <t xml:space="preserve">Proposta: l'inseguimento di 300 ms sui paesi va confermato da Giuliano</t>
  </si>
  <si>
    <t xml:space="preserve">D-032</t>
  </si>
  <si>
    <t xml:space="preserve">Diurno: TDI digitale, somma a bordo di 4 passaggi nella striscia PAN (~970 righe); sensore ≥ ~20 immagini/s; somma ~470 Mbit/s</t>
  </si>
  <si>
    <t xml:space="preserve">Scatto singolo (SNR inverno 15–25); somma di 9 passaggi (~50 fps, ~1,2 Gbit/s)</t>
  </si>
  <si>
    <t xml:space="preserve">Inverno, suolo medio: SNR 51 (obiettivo ~50) con velocità normale per il sensore; dati a terra invariati</t>
  </si>
  <si>
    <t xml:space="preserve">Scheda AI (potenza), sensore diurno (A5)</t>
  </si>
  <si>
    <t xml:space="preserve">DR-01, DR-12, DR-13</t>
  </si>
  <si>
    <t xml:space="preserve">R-22</t>
  </si>
  <si>
    <t xml:space="preserve">Report A3, Decisione 4</t>
  </si>
  <si>
    <t xml:space="preserve">Tipo</t>
  </si>
  <si>
    <t xml:space="preserve">Requisito</t>
  </si>
  <si>
    <t xml:space="preserve">Valore / soglia</t>
  </si>
  <si>
    <t xml:space="preserve">Metodo di verifica</t>
  </si>
  <si>
    <t xml:space="preserve">Origine (decisione / passo)</t>
  </si>
  <si>
    <t xml:space="preserve">Responsabile</t>
  </si>
  <si>
    <t xml:space="preserve">PULSE deve poter osservare qualsiasi punto del territorio italiano.</t>
  </si>
  <si>
    <t xml:space="preserve">5°E–20°E, 35°N–48°N</t>
  </si>
  <si>
    <t xml:space="preserve">Analisi (GMAT)</t>
  </si>
  <si>
    <t xml:space="preserve">Approvato</t>
  </si>
  <si>
    <t xml:space="preserve">Verificato sui 5 bersagli in A1</t>
  </si>
  <si>
    <t xml:space="preserve">La costellazione PULSE deve consegnare la mappa entro 48 h nel 90% delle richieste, per qualunque punto del territorio italiano; per gli eventi che richiedono ripresa diurna è ammesso il puntamento fino a 45° off-nadir.</t>
  </si>
  <si>
    <t xml:space="preserve">48 h, 90%</t>
  </si>
  <si>
    <t xml:space="preserve">Analisi + simulazione</t>
  </si>
  <si>
    <t xml:space="preserve">D-017 (A1)</t>
  </si>
  <si>
    <t xml:space="preserve">In A1: 100% a 30° giorno+notte</t>
  </si>
  <si>
    <t xml:space="preserve">Di giorno, a nadir, PULSE deve raggiungere una risoluzione effettiva ≤ 2 m nel pancromatico e ≤ 5 m nel multispettrale (RGB-NIR).</t>
  </si>
  <si>
    <t xml:space="preserve">≤ 2 m PAN, ≤ 5 m MS</t>
  </si>
  <si>
    <t xml:space="preserve">Analisi ottica, poi test</t>
  </si>
  <si>
    <t xml:space="preserve">D-011, D-024, D-025</t>
  </si>
  <si>
    <t xml:space="preserve">A2: GSD 1,5 m PAN, 3,0 m RGB-NIR</t>
  </si>
  <si>
    <t xml:space="preserve">MR-04</t>
  </si>
  <si>
    <t xml:space="preserve">Di notte PULSE deve raggiungere una risoluzione effettiva ≤ 15 m sulle aree illuminate e ≤ 5 m sugli incendi.</t>
  </si>
  <si>
    <t xml:space="preserve">≤ 15 m / ≤ 5 m</t>
  </si>
  <si>
    <t xml:space="preserve">Analisi radiometrica (SNR)</t>
  </si>
  <si>
    <t xml:space="preserve">TBC</t>
  </si>
  <si>
    <t xml:space="preserve">D-011, D-026, D-029, D-031</t>
  </si>
  <si>
    <t xml:space="preserve">A3: aree illuminate OK (quartieri 4,8 m e paesi 9,6 m con SNR 10). Incendi ≤ 5 m non ancora verificati: resta TBC</t>
  </si>
  <si>
    <t xml:space="preserve">PULSE deve garantire qualità nominale fino a 30° off-nadir e poter puntare fino a 45° in modalità degradata.</t>
  </si>
  <si>
    <t xml:space="preserve">30° / 45°</t>
  </si>
  <si>
    <t xml:space="preserve">Analisi + simulazione GNC</t>
  </si>
  <si>
    <t xml:space="preserve">MR-06</t>
  </si>
  <si>
    <t xml:space="preserve">Di giorno PULSE deve rilevare ponti crollati, frane su strade, crolli estesi, aree allagate e incendi (fumo e aree bruciate).</t>
  </si>
  <si>
    <t xml:space="preserve">Test AI su dataset</t>
  </si>
  <si>
    <t xml:space="preserve">Metrica (precisione/richiamo) da fissare in Fase B</t>
  </si>
  <si>
    <t xml:space="preserve">Di notte PULSE deve rilevare incendi e blackout, distinguendo il blackout dalla copertura nuvolosa.</t>
  </si>
  <si>
    <t xml:space="preserve">Metodo TBD</t>
  </si>
  <si>
    <t xml:space="preserve">Analisi + test AI</t>
  </si>
  <si>
    <t xml:space="preserve">TBD</t>
  </si>
  <si>
    <t xml:space="preserve">MR-08</t>
  </si>
  <si>
    <t xml:space="preserve">Di notte PULSE deve segnalare possibili danni alle infrastrutture dalla variazione delle luci artificiali.</t>
  </si>
  <si>
    <t xml:space="preserve">Test AI</t>
  </si>
  <si>
    <t xml:space="preserve">Il prodotto per ogni allarme deve essere un vettore georeferenziato con un ritaglio d'immagine.</t>
  </si>
  <si>
    <t xml:space="preserve">GIS, es. GeoJSON (TBC)</t>
  </si>
  <si>
    <t xml:space="preserve">Ispezione</t>
  </si>
  <si>
    <t xml:space="preserve">L'AI di bordo deve ortorettificare le immagini con assetto, orbita e DEM e confrontarle con i vettori OSM precaricati.</t>
  </si>
  <si>
    <t xml:space="preserve">Test</t>
  </si>
  <si>
    <t xml:space="preserve">Ogni satellite PULSE deve operare su orbita eliosincrona a ~302 km con LTDN 10:30, con quota mantenuta dalla propulsione elettrica.</t>
  </si>
  <si>
    <t xml:space="preserve">302 km, LTDN 10:30</t>
  </si>
  <si>
    <t xml:space="preserve">Analisi</t>
  </si>
  <si>
    <t xml:space="preserve">D-012, D-015</t>
  </si>
  <si>
    <t xml:space="preserve">Formulazione per satellite, come nel report MDR</t>
  </si>
  <si>
    <t xml:space="preserve">Ogni satellite PULSE deve avere una vita operativa di almeno 2 anni.</t>
  </si>
  <si>
    <t xml:space="preserve">≥ 2 anni</t>
  </si>
  <si>
    <t xml:space="preserve">D-009, D-020</t>
  </si>
  <si>
    <t xml:space="preserve">MR-13</t>
  </si>
  <si>
    <t xml:space="preserve">Ogni satellite PULSE deve essere una CubeSat 16U compatibile con i deployer standard.</t>
  </si>
  <si>
    <t xml:space="preserve">16U</t>
  </si>
  <si>
    <t xml:space="preserve">Massa da verificare in A5 (EarthNext max 35,6 kg)</t>
  </si>
  <si>
    <t xml:space="preserve">A fine vita ogni satellite PULSE deve rientrare in atmosfera secondo le regole sui detriti spaziali.</t>
  </si>
  <si>
    <t xml:space="preserve">Rientro naturale da 302 km in pochi mesi</t>
  </si>
  <si>
    <t xml:space="preserve">Il lanciatore o un rimorchiatore orbitale deve rilasciare i 4 satelliti a ~360 km, su orbita eliosincrona con inclinazione 96,8° e LTDN ~10:30.</t>
  </si>
  <si>
    <t xml:space="preserve">~360 km, 96,8°, 10:30</t>
  </si>
  <si>
    <t xml:space="preserve">Riesame interfaccia di lancio</t>
  </si>
  <si>
    <t xml:space="preserve">D-018 (A1-bis)</t>
  </si>
  <si>
    <t xml:space="preserve">Tolleranze da definire</t>
  </si>
  <si>
    <t xml:space="preserve">DR-01</t>
  </si>
  <si>
    <t xml:space="preserve">Derivato</t>
  </si>
  <si>
    <t xml:space="preserve">Il tempo di esposizione diurno deve essere ≤ 0,2 ms per riga.</t>
  </si>
  <si>
    <t xml:space="preserve">≤ 0,2 ms</t>
  </si>
  <si>
    <t xml:space="preserve">D-024 (A2)</t>
  </si>
  <si>
    <t xml:space="preserve">Suolo a 7,4 km/s su pixel da 1,5 m</t>
  </si>
  <si>
    <t xml:space="preserve">DR-02</t>
  </si>
  <si>
    <t xml:space="preserve">La stabilità di puntamento durante l'esposizione deve essere molto inferiore a 5 µrad.</t>
  </si>
  <si>
    <t xml:space="preserve">≪ 5 µrad</t>
  </si>
  <si>
    <t xml:space="preserve">Valore numerico da fissare in A5</t>
  </si>
  <si>
    <t xml:space="preserve">DR-03</t>
  </si>
  <si>
    <t xml:space="preserve">La posizione del fuoco deve restare entro ±37 µm sul piano focale.</t>
  </si>
  <si>
    <t xml:space="preserve">± 37 µm</t>
  </si>
  <si>
    <t xml:space="preserve">Analisi termo-strutturale</t>
  </si>
  <si>
    <t xml:space="preserve">Impone stabilità termica del telescopio</t>
  </si>
  <si>
    <t xml:space="preserve">DR-04</t>
  </si>
  <si>
    <t xml:space="preserve">Di notte il satellite deve eseguire la compensazione del moto (FMC).</t>
  </si>
  <si>
    <t xml:space="preserve">Beccheggio ~1,4°/s</t>
  </si>
  <si>
    <t xml:space="preserve">Simulazione GNC</t>
  </si>
  <si>
    <t xml:space="preserve">D-026 (A2)</t>
  </si>
  <si>
    <t xml:space="preserve">Senza FMC il pixel resta sul bersaglio 0,65 ms. A3: ~1,0°/s a 45° traverso, ~0,7°/s a 45° lungo traccia; durata in DR-11</t>
  </si>
  <si>
    <t xml:space="preserve">DR-05</t>
  </si>
  <si>
    <t xml:space="preserve">La deriva d'assetto durante l'acquisizione a strisce deve permettere il riallineamento delle bande RGB-NIR.</t>
  </si>
  <si>
    <t xml:space="preserve">≤ 0,0002°/s senza correzione; ~0,001°/s con riallineamento a terra</t>
  </si>
  <si>
    <t xml:space="preserve">D-025 (A2)</t>
  </si>
  <si>
    <t xml:space="preserve">Scelta da fare in A5</t>
  </si>
  <si>
    <t xml:space="preserve">DR-06</t>
  </si>
  <si>
    <t xml:space="preserve">Ogni satellite deve disporre di un ΔV di almeno 269 m/s.</t>
  </si>
  <si>
    <t xml:space="preserve">≥ 269 m/s</t>
  </si>
  <si>
    <t xml:space="preserve">D-022 (A1-bis)</t>
  </si>
  <si>
    <t xml:space="preserve">Caso alto: 464 m/s</t>
  </si>
  <si>
    <t xml:space="preserve">DR-07</t>
  </si>
  <si>
    <t xml:space="preserve">Il serbatoio deve contenere la massa di iodio del budget ΔV.</t>
  </si>
  <si>
    <t xml:space="preserve">~1,5 kg</t>
  </si>
  <si>
    <t xml:space="preserve">Verifica in A5</t>
  </si>
  <si>
    <t xml:space="preserve">DR-08</t>
  </si>
  <si>
    <t xml:space="preserve">Puntamento, FMC e acquisizione devono stare nella finestra di ripresa sul bersaglio.</t>
  </si>
  <si>
    <t xml:space="preserve">≤ 50 s a 30°, ≤ 90 s a 45°</t>
  </si>
  <si>
    <t xml:space="preserve">DR-09</t>
  </si>
  <si>
    <t xml:space="preserve">Di notte il canale sCMOS deve dare SNR ≥ 10 su un quartiere da 20 nW/cm²/sr a 4,8 m e su un paese da 5 nW/cm²/sr a 9,6 m (binning 2×2).</t>
  </si>
  <si>
    <t xml:space="preserve">SNR ≥ 10</t>
  </si>
  <si>
    <t xml:space="preserve">Analisi radiometrica, poi test</t>
  </si>
  <si>
    <t xml:space="preserve">D-029, D-031 (A3)</t>
  </si>
  <si>
    <t xml:space="preserve">Modello senza luce diffusa e parassita: riserva 3×3</t>
  </si>
  <si>
    <t xml:space="preserve">DR-10</t>
  </si>
  <si>
    <t xml:space="preserve">Durante ogni scatto notturno da 20 ms la deriva d'assetto deve restare sotto la soglia di mosso di 1/3 di pixel.</t>
  </si>
  <si>
    <t xml:space="preserve">&lt; 0,015°/s (mosso &lt; 5,2 µrad)</t>
  </si>
  <si>
    <t xml:space="preserve">D-030 (A3)</t>
  </si>
  <si>
    <t xml:space="preserve">Da confermare con Giuliano in A5; se non raggiunta si passa al 3×3</t>
  </si>
  <si>
    <t xml:space="preserve">DR-11</t>
  </si>
  <si>
    <t xml:space="preserve">L'inseguimento FMC deve durare quanto la raccolta notturna, con margine.</t>
  </si>
  <si>
    <t xml:space="preserve">≥ 0,36 s (200 ms città, 300 ms paesi + 20%); angolo ≤ 0,42° a nadir</t>
  </si>
  <si>
    <t xml:space="preserve">D-030, D-031 (A3)</t>
  </si>
  <si>
    <t xml:space="preserve">Esclusi puntamento e assestamento</t>
  </si>
  <si>
    <t xml:space="preserve">DR-12</t>
  </si>
  <si>
    <t xml:space="preserve">Il sensore diurno deve permettere la somma di 4 passaggi nella striscia PAN (TDI digitale).</t>
  </si>
  <si>
    <t xml:space="preserve">≥ ~20 immagini/s</t>
  </si>
  <si>
    <t xml:space="preserve">Analisi, indagine di mercato</t>
  </si>
  <si>
    <t xml:space="preserve">D-032 (A3)</t>
  </si>
  <si>
    <t xml:space="preserve">Verifica sul mercato in A5 (R-22)</t>
  </si>
  <si>
    <t xml:space="preserve">DR-13</t>
  </si>
  <si>
    <t xml:space="preserve">La scheda di bordo deve sommare gli scatti notturni e i passaggi diurni in tempo reale.</t>
  </si>
  <si>
    <t xml:space="preserve">~470 Mbit/s di giorno</t>
  </si>
  <si>
    <t xml:space="preserve">Analisi, poi test</t>
  </si>
  <si>
    <t xml:space="preserve">D-030, D-032 (A3)</t>
  </si>
  <si>
    <t xml:space="preserve">Potenza e massa della scheda in A5</t>
  </si>
  <si>
    <t xml:space="preserve">Rischio</t>
  </si>
  <si>
    <t xml:space="preserve">Effetto</t>
  </si>
  <si>
    <t xml:space="preserve">Probabilità</t>
  </si>
  <si>
    <t xml:space="preserve">Impatto</t>
  </si>
  <si>
    <t xml:space="preserve">Criticità (1–9)</t>
  </si>
  <si>
    <t xml:space="preserve">Mitigazione</t>
  </si>
  <si>
    <t xml:space="preserve">Passo di verifica</t>
  </si>
  <si>
    <t xml:space="preserve">TRL</t>
  </si>
  <si>
    <t xml:space="preserve">Origine</t>
  </si>
  <si>
    <t xml:space="preserve">Il TMA con focale ~0,7 m non entra nel volume del 16U</t>
  </si>
  <si>
    <t xml:space="preserve">Ottica da rifare o piattaforma più grande</t>
  </si>
  <si>
    <t xml:space="preserve">Media</t>
  </si>
  <si>
    <t xml:space="preserve">Alta</t>
  </si>
  <si>
    <t xml:space="preserve">Ottica ripiegata; confronto con gli 8U dell'imager di EarthNext</t>
  </si>
  <si>
    <t xml:space="preserve">A5</t>
  </si>
  <si>
    <t xml:space="preserve">~5</t>
  </si>
  <si>
    <t xml:space="preserve">In mitigazione</t>
  </si>
  <si>
    <t xml:space="preserve">A2: focale 0,70 m confermata ripiegabile nel TMA</t>
  </si>
  <si>
    <t xml:space="preserve">SNR notturno troppo basso</t>
  </si>
  <si>
    <t xml:space="preserve">Blackout e incendi non rilevabili</t>
  </si>
  <si>
    <t xml:space="preserve">FMC quasi totale, binning, sCMOS dual-gain; bilancio radiometrico</t>
  </si>
  <si>
    <t xml:space="preserve">~4</t>
  </si>
  <si>
    <t xml:space="preserve">A3: SNR 10 su quartiere a 4,8 m e paesi a 9,6 m; riserva 3×3 (SNR 12,3)</t>
  </si>
  <si>
    <t xml:space="preserve">Non si riesce a distinguere un blackout da una nuvola</t>
  </si>
  <si>
    <t xml:space="preserve">MR-07 non rispettato</t>
  </si>
  <si>
    <t xml:space="preserve">Immagine "prima", dati meteo, Luna, rivisita</t>
  </si>
  <si>
    <t xml:space="preserve">Aperto</t>
  </si>
  <si>
    <t xml:space="preserve">R-04</t>
  </si>
  <si>
    <t xml:space="preserve">Troppi falsi allarmi dell'AI (ombre, stagioni, cantieri)</t>
  </si>
  <si>
    <t xml:space="preserve">Prodotto poco affidabile</t>
  </si>
  <si>
    <t xml:space="preserve">Test su dataset pubblici (es. xBD); soglie di confidenza</t>
  </si>
  <si>
    <t xml:space="preserve">Fase B</t>
  </si>
  <si>
    <t xml:space="preserve">~3–4</t>
  </si>
  <si>
    <t xml:space="preserve">Ortorettifica imprecisa off-nadir in montagna</t>
  </si>
  <si>
    <t xml:space="preserve">Vettori fuori posizione</t>
  </si>
  <si>
    <t xml:space="preserve">DEM a bordo; conoscenza d'assetto precisa</t>
  </si>
  <si>
    <t xml:space="preserve">Slew fino a 45° e FMC notturna oltre le capacità delle ruote</t>
  </si>
  <si>
    <t xml:space="preserve">Riprese perse o degradate</t>
  </si>
  <si>
    <t xml:space="preserve">Simulazione GNC; 45° è già modalità degradata</t>
  </si>
  <si>
    <t xml:space="preserve">~5–6</t>
  </si>
  <si>
    <t xml:space="preserve">A3: deriva &lt; 0,015°/s per scatto, inseguimento 0,36 s (DR-10, DR-11)</t>
  </si>
  <si>
    <t xml:space="preserve">R-07</t>
  </si>
  <si>
    <t xml:space="preserve">Potenza insufficiente per AI + motore + manovre</t>
  </si>
  <si>
    <t xml:space="preserve">Conflitti operativi</t>
  </si>
  <si>
    <t xml:space="preserve">Separare nel tempo AI e spinta; budget di potenza</t>
  </si>
  <si>
    <t xml:space="preserve">48 h non rispettate per nuvole o pochi contatti</t>
  </si>
  <si>
    <t xml:space="preserve">MR-02 non rispettato</t>
  </si>
  <si>
    <t xml:space="preserve">Passaggio notturno; costellazione; stazioni ad alta latitudine</t>
  </si>
  <si>
    <t xml:space="preserve">A1: 100% a 30° giorno+notte senza nuvole</t>
  </si>
  <si>
    <t xml:space="preserve">R-09</t>
  </si>
  <si>
    <t xml:space="preserve">La scheda AI si scalda troppo</t>
  </si>
  <si>
    <t xml:space="preserve">Elaborazione rallentata o interrotta</t>
  </si>
  <si>
    <t xml:space="preserve">Bassa</t>
  </si>
  <si>
    <t xml:space="preserve">Analisi termica; elaborazione a impulsi</t>
  </si>
  <si>
    <t xml:space="preserve">Un satellite singolo non rispetta MR-02</t>
  </si>
  <si>
    <t xml:space="preserve">Missione non conforme</t>
  </si>
  <si>
    <t xml:space="preserve">Costellazione di 4 (D-015)</t>
  </si>
  <si>
    <t xml:space="preserve">Chiuso</t>
  </si>
  <si>
    <t xml:space="preserve">Chiuso con D-015</t>
  </si>
  <si>
    <t xml:space="preserve">Nessun lancio o rimorchiatore disponibile per l'orbita richiesta</t>
  </si>
  <si>
    <t xml:space="preserve">Ritardo o orbita diversa</t>
  </si>
  <si>
    <t xml:space="preserve">Indagine sui rideshare eliosincroni; piano B rilascio a 500 km (111,9 m/s)</t>
  </si>
  <si>
    <t xml:space="preserve">A6</t>
  </si>
  <si>
    <t xml:space="preserve">Probabilità da valutare in A6</t>
  </si>
  <si>
    <t xml:space="preserve">Attività solare più alta del previsto</t>
  </si>
  <si>
    <t xml:space="preserve">ΔV fino a 464 m/s in 2 anni</t>
  </si>
  <si>
    <t xml:space="preserve">Margine 20%; caso alto nel budget di massa</t>
  </si>
  <si>
    <t xml:space="preserve">R-13</t>
  </si>
  <si>
    <t xml:space="preserve">Serbatoio troppo piccolo per ~1,5 kg di iodio</t>
  </si>
  <si>
    <t xml:space="preserve">Vita operativa ridotta</t>
  </si>
  <si>
    <t xml:space="preserve">Verifica nel budget di massa</t>
  </si>
  <si>
    <t xml:space="preserve">R-14</t>
  </si>
  <si>
    <t xml:space="preserve">Motore acceso ~4,7 h/giorno in mantenimento</t>
  </si>
  <si>
    <t xml:space="preserve">Conflitti con riprese, scarico dati e potenza</t>
  </si>
  <si>
    <t xml:space="preserve">Budget di potenza e piano operativo</t>
  </si>
  <si>
    <t xml:space="preserve">Riallineamento delle bande a strisce</t>
  </si>
  <si>
    <t xml:space="preserve">Bordi colorati se l'assetto oscilla (0,001°/s → ~4 m)</t>
  </si>
  <si>
    <t xml:space="preserve">Requisito di stabilità ADCS (DR-05); riallineamento a terra</t>
  </si>
  <si>
    <t xml:space="preserve">R-16</t>
  </si>
  <si>
    <t xml:space="preserve">Luce diffusa notturna (Luna, alone delle città)</t>
  </si>
  <si>
    <t xml:space="preserve">Contrasto ridotto sulle zone buie</t>
  </si>
  <si>
    <t xml:space="preserve">Bilancio radiometrico con Luna; deflettori</t>
  </si>
  <si>
    <t xml:space="preserve">A3: luna piena ~7 nW/cm²/sr, come un paese illuminato. Probabilità da valutare in A6</t>
  </si>
  <si>
    <t xml:space="preserve">R-17</t>
  </si>
  <si>
    <t xml:space="preserve">Disponibilità e vincoli di export dei sensori sCMOS spaziali</t>
  </si>
  <si>
    <t xml:space="preserve">Sensore non acquistabile</t>
  </si>
  <si>
    <t xml:space="preserve">Indagine di mercato</t>
  </si>
  <si>
    <t xml:space="preserve">Leggero aliasing (Q = 0,92, MTF a Nyquist ~0,28)</t>
  </si>
  <si>
    <t xml:space="preserve">Artefatti su strutture regolari</t>
  </si>
  <si>
    <t xml:space="preserve">Nessuna: accettabile per la mappatura dei danni</t>
  </si>
  <si>
    <t xml:space="preserve">Accettato</t>
  </si>
  <si>
    <t xml:space="preserve">R-19</t>
  </si>
  <si>
    <t xml:space="preserve">Radianze notturne reali diverse dalle medie VIIRS (750 m) a 5 m, e diverse tra LED e sodio</t>
  </si>
  <si>
    <t xml:space="preserve">SNR locale più basso del previsto</t>
  </si>
  <si>
    <t xml:space="preserve">Binning adattivo; riserva 3×3</t>
  </si>
  <si>
    <t xml:space="preserve">R-20</t>
  </si>
  <si>
    <t xml:space="preserve">Il modello SNR trascura luce diffusa dall'atmosfera, luce parassita e sfocatura</t>
  </si>
  <si>
    <t xml:space="preserve">SNR reale un po' più basso</t>
  </si>
  <si>
    <t xml:space="preserve">Riserva 3×3; deflettori; analisi di luce parassita</t>
  </si>
  <si>
    <t xml:space="preserve">R-21</t>
  </si>
  <si>
    <t xml:space="preserve">Riallineamento degli scatti su zone completamente al buio</t>
  </si>
  <si>
    <t xml:space="preserve">Immagine sommata sfocata proprio nel blackout</t>
  </si>
  <si>
    <t xml:space="preserve">Riallineamento con i dati d'assetto (giroscopi, star tracker)</t>
  </si>
  <si>
    <t xml:space="preserve">Dipende dalla conoscenza d'assetto di Giuliano. Probabilità da valutare in A6</t>
  </si>
  <si>
    <t xml:space="preserve">Pochi sensori diurni di questa taglia superano 20 immagini/s</t>
  </si>
  <si>
    <t xml:space="preserve">TDI digitale a 4 passaggi non realizzabile; SNR invernale basso</t>
  </si>
  <si>
    <t xml:space="preserve">Indagine di mercato; ritaglio della finestra letta</t>
  </si>
  <si>
    <t xml:space="preserve">Stato_dec</t>
  </si>
  <si>
    <t xml:space="preserve">Fase</t>
  </si>
  <si>
    <t xml:space="preserve">Stato_req</t>
  </si>
  <si>
    <t xml:space="preserve">Livello</t>
  </si>
  <si>
    <t xml:space="preserve">Stato_risk</t>
  </si>
  <si>
    <t xml:space="preserve">Tipo_req</t>
  </si>
  <si>
    <t xml:space="preserve">Da riscrivere</t>
  </si>
  <si>
    <t xml:space="preserve">Superato</t>
  </si>
  <si>
    <t xml:space="preserve">Potenza</t>
  </si>
  <si>
    <t xml:space="preserve">Termico</t>
  </si>
  <si>
    <t xml:space="preserve">Struttura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</si>
</sst>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DE9D9"/>
        <bgColor rgb="FFFCE4D6"/>
      </patternFill>
    </fill>
    <fill>
      <patternFill patternType="solid">
        <fgColor rgb="FFFFF2CC"/>
        <bgColor rgb="FFFDE9D9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DE9D9"/>
      </patternFill>
    </fill>
    <fill>
      <patternFill patternType="solid">
        <fgColor rgb="FFE7E6E6"/>
        <bgColor rgb="FFFCE4D6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6B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6B0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FDE9D9"/>
      <rgbColor rgb="FFFFE699"/>
      <rgbColor rgb="FF99CCFF"/>
      <rgbColor rgb="FFFF99CC"/>
      <rgbColor rgb="FFCC99FF"/>
      <rgbColor rgb="FFF4B6B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5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27.75" hidden="false" customHeight="true" outlineLevel="0" collapsed="false">
      <c r="A5" s="5" t="s">
        <v>3</v>
      </c>
      <c r="B5" s="6" t="s">
        <v>4</v>
      </c>
      <c r="C5" s="6"/>
      <c r="D5" s="6"/>
      <c r="E5" s="6"/>
    </row>
    <row r="6" customFormat="false" ht="27.75" hidden="false" customHeight="true" outlineLevel="0" collapsed="false">
      <c r="A6" s="5" t="s">
        <v>5</v>
      </c>
      <c r="B6" s="6" t="s">
        <v>6</v>
      </c>
      <c r="C6" s="6"/>
      <c r="D6" s="6"/>
      <c r="E6" s="6"/>
    </row>
    <row r="7" customFormat="false" ht="27.75" hidden="false" customHeight="true" outlineLevel="0" collapsed="false">
      <c r="A7" s="5" t="s">
        <v>7</v>
      </c>
      <c r="B7" s="6" t="s">
        <v>8</v>
      </c>
      <c r="C7" s="6"/>
      <c r="D7" s="6"/>
      <c r="E7" s="6"/>
    </row>
    <row r="8" customFormat="false" ht="27.75" hidden="false" customHeight="true" outlineLevel="0" collapsed="false">
      <c r="A8" s="5" t="s">
        <v>9</v>
      </c>
      <c r="B8" s="6" t="s">
        <v>10</v>
      </c>
      <c r="C8" s="6"/>
      <c r="D8" s="6"/>
      <c r="E8" s="6"/>
    </row>
    <row r="9" customFormat="false" ht="27.75" hidden="false" customHeight="true" outlineLevel="0" collapsed="false">
      <c r="A9" s="5" t="s">
        <v>11</v>
      </c>
      <c r="B9" s="6" t="s">
        <v>12</v>
      </c>
      <c r="C9" s="6"/>
      <c r="D9" s="6"/>
      <c r="E9" s="6"/>
    </row>
    <row r="10" customFormat="false" ht="27.75" hidden="false" customHeight="true" outlineLevel="0" collapsed="false">
      <c r="A10" s="5" t="s">
        <v>13</v>
      </c>
      <c r="B10" s="6" t="s">
        <v>14</v>
      </c>
      <c r="C10" s="6"/>
      <c r="D10" s="6"/>
      <c r="E10" s="6"/>
    </row>
    <row r="11" customFormat="false" ht="27.75" hidden="false" customHeight="true" outlineLevel="0" collapsed="false">
      <c r="A11" s="5" t="s">
        <v>15</v>
      </c>
      <c r="B11" s="6" t="s">
        <v>16</v>
      </c>
      <c r="C11" s="6"/>
      <c r="D11" s="6"/>
      <c r="E11" s="6"/>
    </row>
    <row r="13" customFormat="false" ht="15" hidden="false" customHeight="true" outlineLevel="0" collapsed="false">
      <c r="A13" s="7" t="s">
        <v>17</v>
      </c>
    </row>
    <row r="14" customFormat="false" ht="15" hidden="false" customHeight="true" outlineLevel="0" collapsed="false">
      <c r="A14" s="8" t="s">
        <v>18</v>
      </c>
      <c r="B14" s="9" t="s">
        <v>19</v>
      </c>
      <c r="C14" s="9"/>
      <c r="D14" s="9"/>
      <c r="E14" s="9"/>
    </row>
    <row r="15" customFormat="false" ht="15" hidden="false" customHeight="true" outlineLevel="0" collapsed="false">
      <c r="A15" s="10" t="s">
        <v>20</v>
      </c>
      <c r="B15" s="9" t="s">
        <v>21</v>
      </c>
      <c r="C15" s="9"/>
      <c r="D15" s="9"/>
      <c r="E15" s="9"/>
    </row>
    <row r="16" customFormat="false" ht="15" hidden="false" customHeight="true" outlineLevel="0" collapsed="false">
      <c r="A16" s="11" t="s">
        <v>22</v>
      </c>
      <c r="B16" s="9" t="s">
        <v>23</v>
      </c>
      <c r="C16" s="9"/>
      <c r="D16" s="9"/>
      <c r="E16" s="9"/>
    </row>
    <row r="17" customFormat="false" ht="15" hidden="false" customHeight="true" outlineLevel="0" collapsed="false">
      <c r="A17" s="12" t="s">
        <v>24</v>
      </c>
      <c r="B17" s="9" t="s">
        <v>25</v>
      </c>
      <c r="C17" s="9"/>
      <c r="D17" s="9"/>
      <c r="E17" s="9"/>
    </row>
    <row r="18" customFormat="false" ht="15" hidden="false" customHeight="true" outlineLevel="0" collapsed="false">
      <c r="A18" s="13" t="s">
        <v>26</v>
      </c>
      <c r="B18" s="9" t="s">
        <v>27</v>
      </c>
      <c r="C18" s="9"/>
      <c r="D18" s="9"/>
      <c r="E18" s="9"/>
    </row>
    <row r="20" customFormat="false" ht="15" hidden="false" customHeight="true" outlineLevel="0" collapsed="false">
      <c r="A20" s="7" t="s">
        <v>28</v>
      </c>
    </row>
    <row r="21" customFormat="false" ht="15" hidden="false" customHeight="true" outlineLevel="0" collapsed="false">
      <c r="A21" s="14" t="s">
        <v>29</v>
      </c>
      <c r="B21" s="14" t="s">
        <v>30</v>
      </c>
      <c r="C21" s="14" t="s">
        <v>31</v>
      </c>
      <c r="D21" s="14" t="s">
        <v>32</v>
      </c>
      <c r="E21" s="14" t="s">
        <v>33</v>
      </c>
    </row>
    <row r="22" customFormat="false" ht="15" hidden="false" customHeight="true" outlineLevel="0" collapsed="false">
      <c r="A22" s="15" t="s">
        <v>18</v>
      </c>
      <c r="B22" s="16" t="n">
        <f aca="false">COUNTIFS(Decisioni!$L:$L,$A22,Decisioni!$D:$D,B$21)</f>
        <v>0</v>
      </c>
      <c r="C22" s="16" t="n">
        <f aca="false">COUNTIFS(Decisioni!$L:$L,$A22,Decisioni!$D:$D,C$21)</f>
        <v>0</v>
      </c>
      <c r="D22" s="16" t="n">
        <f aca="false">COUNTIFS(Decisioni!$L:$L,$A22,Decisioni!$D:$D,D$21)</f>
        <v>0</v>
      </c>
      <c r="E22" s="17" t="n">
        <f aca="false">SUM(B22:D22)</f>
        <v>0</v>
      </c>
    </row>
    <row r="23" customFormat="false" ht="15" hidden="false" customHeight="true" outlineLevel="0" collapsed="false">
      <c r="A23" s="15" t="s">
        <v>20</v>
      </c>
      <c r="B23" s="16" t="n">
        <f aca="false">COUNTIFS(Decisioni!$L:$L,$A23,Decisioni!$D:$D,B$21)</f>
        <v>0</v>
      </c>
      <c r="C23" s="16" t="n">
        <f aca="false">COUNTIFS(Decisioni!$L:$L,$A23,Decisioni!$D:$D,C$21)</f>
        <v>2</v>
      </c>
      <c r="D23" s="16" t="n">
        <f aca="false">COUNTIFS(Decisioni!$L:$L,$A23,Decisioni!$D:$D,D$21)</f>
        <v>0</v>
      </c>
      <c r="E23" s="17" t="n">
        <f aca="false">SUM(B23:D23)</f>
        <v>2</v>
      </c>
    </row>
    <row r="24" customFormat="false" ht="15" hidden="false" customHeight="true" outlineLevel="0" collapsed="false">
      <c r="A24" s="15" t="s">
        <v>22</v>
      </c>
      <c r="B24" s="16" t="n">
        <f aca="false">COUNTIFS(Decisioni!$L:$L,$A24,Decisioni!$D:$D,B$21)</f>
        <v>0</v>
      </c>
      <c r="C24" s="16" t="n">
        <f aca="false">COUNTIFS(Decisioni!$L:$L,$A24,Decisioni!$D:$D,C$21)</f>
        <v>2</v>
      </c>
      <c r="D24" s="16" t="n">
        <f aca="false">COUNTIFS(Decisioni!$L:$L,$A24,Decisioni!$D:$D,D$21)</f>
        <v>27</v>
      </c>
      <c r="E24" s="17" t="n">
        <f aca="false">SUM(B24:D24)</f>
        <v>29</v>
      </c>
    </row>
    <row r="25" customFormat="false" ht="15" hidden="false" customHeight="true" outlineLevel="0" collapsed="false">
      <c r="A25" s="15" t="s">
        <v>24</v>
      </c>
      <c r="B25" s="16" t="n">
        <f aca="false">COUNTIFS(Decisioni!$L:$L,$A25,Decisioni!$D:$D,B$21)</f>
        <v>0</v>
      </c>
      <c r="C25" s="16" t="n">
        <f aca="false">COUNTIFS(Decisioni!$L:$L,$A25,Decisioni!$D:$D,C$21)</f>
        <v>0</v>
      </c>
      <c r="D25" s="16" t="n">
        <f aca="false">COUNTIFS(Decisioni!$L:$L,$A25,Decisioni!$D:$D,D$21)</f>
        <v>0</v>
      </c>
      <c r="E25" s="17" t="n">
        <f aca="false">SUM(B25:D25)</f>
        <v>0</v>
      </c>
    </row>
    <row r="26" customFormat="false" ht="15" hidden="false" customHeight="true" outlineLevel="0" collapsed="false">
      <c r="A26" s="15" t="s">
        <v>26</v>
      </c>
      <c r="B26" s="16" t="n">
        <f aca="false">COUNTIFS(Decisioni!$L:$L,$A26,Decisioni!$D:$D,B$21)</f>
        <v>0</v>
      </c>
      <c r="C26" s="16" t="n">
        <f aca="false">COUNTIFS(Decisioni!$L:$L,$A26,Decisioni!$D:$D,C$21)</f>
        <v>0</v>
      </c>
      <c r="D26" s="16" t="n">
        <f aca="false">COUNTIFS(Decisioni!$L:$L,$A26,Decisioni!$D:$D,D$21)</f>
        <v>1</v>
      </c>
      <c r="E26" s="17" t="n">
        <f aca="false">SUM(B26:D26)</f>
        <v>1</v>
      </c>
    </row>
    <row r="27" customFormat="false" ht="15" hidden="false" customHeight="true" outlineLevel="0" collapsed="false">
      <c r="A27" s="15" t="s">
        <v>33</v>
      </c>
      <c r="B27" s="15" t="n">
        <f aca="false">SUM(B22:B26)</f>
        <v>0</v>
      </c>
      <c r="C27" s="15" t="n">
        <f aca="false">SUM(C22:C26)</f>
        <v>4</v>
      </c>
      <c r="D27" s="15" t="n">
        <f aca="false">SUM(D22:D26)</f>
        <v>28</v>
      </c>
      <c r="E27" s="17" t="n">
        <f aca="false">SUM(E22:E26)</f>
        <v>32</v>
      </c>
    </row>
    <row r="29" customFormat="false" ht="15" hidden="false" customHeight="true" outlineLevel="0" collapsed="false">
      <c r="A29" s="7" t="s">
        <v>34</v>
      </c>
    </row>
    <row r="30" customFormat="false" ht="15" hidden="false" customHeight="true" outlineLevel="0" collapsed="false">
      <c r="A30" s="18" t="s">
        <v>35</v>
      </c>
      <c r="B30" s="19" t="n">
        <f aca="false">COUNTIF(Requisiti!$F:$F,"Approvato")</f>
        <v>17</v>
      </c>
    </row>
    <row r="31" customFormat="false" ht="15" hidden="false" customHeight="true" outlineLevel="0" collapsed="false">
      <c r="A31" s="18" t="s">
        <v>36</v>
      </c>
      <c r="B31" s="19" t="n">
        <f aca="false">COUNTIF(Requisiti!$F:$F,"TBC")+COUNTIF(Requisiti!$F:$F,"TBD")</f>
        <v>11</v>
      </c>
    </row>
    <row r="32" customFormat="false" ht="15" hidden="false" customHeight="true" outlineLevel="0" collapsed="false">
      <c r="A32" s="18" t="s">
        <v>37</v>
      </c>
      <c r="B32" s="19" t="n">
        <f aca="false">COUNTA(Rischi!$A$2:$A$500)-COUNTIF(Rischi!$K:$K,"Chiuso")</f>
        <v>21</v>
      </c>
    </row>
    <row r="33" customFormat="false" ht="15" hidden="false" customHeight="true" outlineLevel="0" collapsed="false">
      <c r="A33" s="18" t="s">
        <v>38</v>
      </c>
      <c r="B33" s="19" t="n">
        <f aca="false">COUNTIF(Rischi!$F$2:$F$500,"&gt;=6")</f>
        <v>5</v>
      </c>
    </row>
    <row r="34" customFormat="false" ht="15" hidden="false" customHeight="true" outlineLevel="0" collapsed="false">
      <c r="A34" s="18" t="s">
        <v>39</v>
      </c>
      <c r="B34" s="19" t="n">
        <f aca="false">COUNTIFS(Rischi!$A$2:$A$500,"&lt;&gt;",Rischi!$D$2:$D$500,"")</f>
        <v>11</v>
      </c>
    </row>
    <row r="36" customFormat="false" ht="42" hidden="false" customHeight="true" outlineLevel="0" collapsed="false">
      <c r="A36" s="5" t="s">
        <v>40</v>
      </c>
      <c r="B36" s="6" t="s">
        <v>41</v>
      </c>
      <c r="C36" s="6"/>
      <c r="D36" s="6"/>
      <c r="E36" s="6"/>
    </row>
  </sheetData>
  <mergeCells count="13">
    <mergeCell ref="B5:E5"/>
    <mergeCell ref="B6:E6"/>
    <mergeCell ref="B7:E7"/>
    <mergeCell ref="B8:E8"/>
    <mergeCell ref="B9:E9"/>
    <mergeCell ref="B10:E10"/>
    <mergeCell ref="B11:E11"/>
    <mergeCell ref="B14:E14"/>
    <mergeCell ref="B15:E15"/>
    <mergeCell ref="B16:E16"/>
    <mergeCell ref="B17:E17"/>
    <mergeCell ref="B18:E18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42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24"/>
    <col collapsed="false" customWidth="true" hidden="false" outlineLevel="0" max="11" min="10" style="1" width="14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26"/>
    <col collapsed="false" customWidth="true" hidden="false" outlineLevel="0" max="15" min="15" style="1" width="24"/>
  </cols>
  <sheetData>
    <row r="1" customFormat="false" ht="30" hidden="false" customHeight="true" outlineLevel="0" collapsed="false">
      <c r="A1" s="20" t="s">
        <v>42</v>
      </c>
      <c r="B1" s="20" t="s">
        <v>43</v>
      </c>
      <c r="C1" s="20" t="s">
        <v>44</v>
      </c>
      <c r="D1" s="20" t="s">
        <v>45</v>
      </c>
      <c r="E1" s="20" t="s">
        <v>46</v>
      </c>
      <c r="F1" s="20" t="s">
        <v>47</v>
      </c>
      <c r="G1" s="20" t="s">
        <v>48</v>
      </c>
      <c r="H1" s="20" t="s">
        <v>49</v>
      </c>
      <c r="I1" s="20" t="s">
        <v>50</v>
      </c>
      <c r="J1" s="20" t="s">
        <v>51</v>
      </c>
      <c r="K1" s="20" t="s">
        <v>52</v>
      </c>
      <c r="L1" s="20" t="s">
        <v>29</v>
      </c>
      <c r="M1" s="20" t="s">
        <v>53</v>
      </c>
      <c r="N1" s="20" t="s">
        <v>54</v>
      </c>
      <c r="O1" s="20" t="s">
        <v>55</v>
      </c>
    </row>
    <row r="2" customFormat="false" ht="34.5" hidden="false" customHeight="true" outlineLevel="0" collapsed="false">
      <c r="A2" s="21" t="s">
        <v>56</v>
      </c>
      <c r="B2" s="22" t="n">
        <v>46296</v>
      </c>
      <c r="C2" s="21" t="s">
        <v>57</v>
      </c>
      <c r="D2" s="21" t="s">
        <v>32</v>
      </c>
      <c r="E2" s="21" t="s">
        <v>58</v>
      </c>
      <c r="F2" s="21" t="s">
        <v>59</v>
      </c>
      <c r="G2" s="21" t="s">
        <v>60</v>
      </c>
      <c r="H2" s="21" t="s">
        <v>61</v>
      </c>
      <c r="I2" s="21" t="s">
        <v>62</v>
      </c>
      <c r="J2" s="21"/>
      <c r="K2" s="21"/>
      <c r="L2" s="21" t="s">
        <v>22</v>
      </c>
      <c r="M2" s="21"/>
      <c r="N2" s="21" t="s">
        <v>63</v>
      </c>
      <c r="O2" s="21"/>
    </row>
    <row r="3" customFormat="false" ht="34.5" hidden="false" customHeight="true" outlineLevel="0" collapsed="false">
      <c r="A3" s="21" t="s">
        <v>64</v>
      </c>
      <c r="B3" s="22" t="n">
        <v>46296</v>
      </c>
      <c r="C3" s="21" t="s">
        <v>57</v>
      </c>
      <c r="D3" s="21" t="s">
        <v>32</v>
      </c>
      <c r="E3" s="21" t="s">
        <v>58</v>
      </c>
      <c r="F3" s="21" t="s">
        <v>65</v>
      </c>
      <c r="G3" s="21" t="s">
        <v>66</v>
      </c>
      <c r="H3" s="21" t="s">
        <v>67</v>
      </c>
      <c r="I3" s="21" t="s">
        <v>68</v>
      </c>
      <c r="J3" s="21" t="s">
        <v>69</v>
      </c>
      <c r="K3" s="21" t="s">
        <v>70</v>
      </c>
      <c r="L3" s="21" t="s">
        <v>22</v>
      </c>
      <c r="M3" s="21"/>
      <c r="N3" s="21" t="s">
        <v>71</v>
      </c>
      <c r="O3" s="21"/>
    </row>
    <row r="4" customFormat="false" ht="23.25" hidden="false" customHeight="true" outlineLevel="0" collapsed="false">
      <c r="A4" s="21" t="s">
        <v>72</v>
      </c>
      <c r="B4" s="22" t="n">
        <v>46296</v>
      </c>
      <c r="C4" s="21" t="s">
        <v>57</v>
      </c>
      <c r="D4" s="21" t="s">
        <v>32</v>
      </c>
      <c r="E4" s="21" t="s">
        <v>58</v>
      </c>
      <c r="F4" s="21" t="s">
        <v>73</v>
      </c>
      <c r="G4" s="21" t="s">
        <v>74</v>
      </c>
      <c r="H4" s="21" t="s">
        <v>75</v>
      </c>
      <c r="I4" s="21" t="s">
        <v>76</v>
      </c>
      <c r="J4" s="21" t="s">
        <v>77</v>
      </c>
      <c r="K4" s="21"/>
      <c r="L4" s="21" t="s">
        <v>22</v>
      </c>
      <c r="M4" s="21"/>
      <c r="N4" s="21" t="s">
        <v>63</v>
      </c>
      <c r="O4" s="21"/>
    </row>
    <row r="5" customFormat="false" ht="34.5" hidden="false" customHeight="true" outlineLevel="0" collapsed="false">
      <c r="A5" s="21" t="s">
        <v>78</v>
      </c>
      <c r="B5" s="22" t="n">
        <v>46296</v>
      </c>
      <c r="C5" s="21" t="s">
        <v>57</v>
      </c>
      <c r="D5" s="21" t="s">
        <v>32</v>
      </c>
      <c r="E5" s="21" t="s">
        <v>79</v>
      </c>
      <c r="F5" s="21" t="s">
        <v>80</v>
      </c>
      <c r="G5" s="21" t="s">
        <v>81</v>
      </c>
      <c r="H5" s="21" t="s">
        <v>82</v>
      </c>
      <c r="I5" s="21" t="s">
        <v>83</v>
      </c>
      <c r="J5" s="21" t="s">
        <v>84</v>
      </c>
      <c r="K5" s="21" t="s">
        <v>85</v>
      </c>
      <c r="L5" s="21" t="s">
        <v>22</v>
      </c>
      <c r="M5" s="21"/>
      <c r="N5" s="21" t="s">
        <v>86</v>
      </c>
      <c r="O5" s="21"/>
    </row>
    <row r="6" customFormat="false" ht="23.25" hidden="false" customHeight="true" outlineLevel="0" collapsed="false">
      <c r="A6" s="21" t="s">
        <v>87</v>
      </c>
      <c r="B6" s="22" t="n">
        <v>46296</v>
      </c>
      <c r="C6" s="21" t="s">
        <v>57</v>
      </c>
      <c r="D6" s="21" t="s">
        <v>32</v>
      </c>
      <c r="E6" s="21" t="s">
        <v>58</v>
      </c>
      <c r="F6" s="21" t="s">
        <v>88</v>
      </c>
      <c r="G6" s="21" t="s">
        <v>89</v>
      </c>
      <c r="H6" s="21" t="s">
        <v>90</v>
      </c>
      <c r="I6" s="21" t="s">
        <v>91</v>
      </c>
      <c r="J6" s="21" t="s">
        <v>92</v>
      </c>
      <c r="K6" s="21" t="s">
        <v>93</v>
      </c>
      <c r="L6" s="21" t="s">
        <v>22</v>
      </c>
      <c r="M6" s="21"/>
      <c r="N6" s="21" t="s">
        <v>94</v>
      </c>
      <c r="O6" s="21"/>
    </row>
    <row r="7" customFormat="false" ht="23.25" hidden="false" customHeight="true" outlineLevel="0" collapsed="false">
      <c r="A7" s="21" t="s">
        <v>95</v>
      </c>
      <c r="B7" s="22" t="n">
        <v>46296</v>
      </c>
      <c r="C7" s="21" t="s">
        <v>57</v>
      </c>
      <c r="D7" s="21" t="s">
        <v>32</v>
      </c>
      <c r="E7" s="21" t="s">
        <v>96</v>
      </c>
      <c r="F7" s="21" t="s">
        <v>97</v>
      </c>
      <c r="G7" s="21" t="s">
        <v>98</v>
      </c>
      <c r="H7" s="21" t="s">
        <v>99</v>
      </c>
      <c r="I7" s="21" t="s">
        <v>100</v>
      </c>
      <c r="J7" s="21" t="s">
        <v>101</v>
      </c>
      <c r="K7" s="21" t="s">
        <v>102</v>
      </c>
      <c r="L7" s="21" t="s">
        <v>22</v>
      </c>
      <c r="M7" s="21"/>
      <c r="N7" s="21" t="s">
        <v>103</v>
      </c>
      <c r="O7" s="21"/>
    </row>
    <row r="8" customFormat="false" ht="23.25" hidden="false" customHeight="true" outlineLevel="0" collapsed="false">
      <c r="A8" s="21" t="s">
        <v>104</v>
      </c>
      <c r="B8" s="22" t="n">
        <v>46296</v>
      </c>
      <c r="C8" s="21" t="s">
        <v>57</v>
      </c>
      <c r="D8" s="21" t="s">
        <v>32</v>
      </c>
      <c r="E8" s="21" t="s">
        <v>105</v>
      </c>
      <c r="F8" s="21" t="s">
        <v>106</v>
      </c>
      <c r="G8" s="21" t="s">
        <v>107</v>
      </c>
      <c r="H8" s="21" t="s">
        <v>108</v>
      </c>
      <c r="I8" s="21" t="s">
        <v>109</v>
      </c>
      <c r="J8" s="21" t="s">
        <v>110</v>
      </c>
      <c r="K8" s="21"/>
      <c r="L8" s="21" t="s">
        <v>22</v>
      </c>
      <c r="M8" s="21"/>
      <c r="N8" s="21" t="s">
        <v>111</v>
      </c>
      <c r="O8" s="21"/>
    </row>
    <row r="9" customFormat="false" ht="34.5" hidden="false" customHeight="true" outlineLevel="0" collapsed="false">
      <c r="A9" s="21" t="s">
        <v>112</v>
      </c>
      <c r="B9" s="22" t="n">
        <v>46296</v>
      </c>
      <c r="C9" s="21" t="s">
        <v>57</v>
      </c>
      <c r="D9" s="21" t="s">
        <v>32</v>
      </c>
      <c r="E9" s="21" t="s">
        <v>105</v>
      </c>
      <c r="F9" s="21" t="s">
        <v>113</v>
      </c>
      <c r="G9" s="21" t="s">
        <v>114</v>
      </c>
      <c r="H9" s="21" t="s">
        <v>115</v>
      </c>
      <c r="I9" s="21" t="s">
        <v>116</v>
      </c>
      <c r="J9" s="21" t="s">
        <v>117</v>
      </c>
      <c r="K9" s="21" t="s">
        <v>118</v>
      </c>
      <c r="L9" s="21" t="s">
        <v>22</v>
      </c>
      <c r="M9" s="21"/>
      <c r="N9" s="21" t="s">
        <v>119</v>
      </c>
      <c r="O9" s="21"/>
    </row>
    <row r="10" customFormat="false" ht="23.25" hidden="false" customHeight="true" outlineLevel="0" collapsed="false">
      <c r="A10" s="21" t="s">
        <v>120</v>
      </c>
      <c r="B10" s="22" t="n">
        <v>46296</v>
      </c>
      <c r="C10" s="21" t="s">
        <v>57</v>
      </c>
      <c r="D10" s="21" t="s">
        <v>32</v>
      </c>
      <c r="E10" s="21" t="s">
        <v>58</v>
      </c>
      <c r="F10" s="21" t="s">
        <v>121</v>
      </c>
      <c r="G10" s="21" t="s">
        <v>122</v>
      </c>
      <c r="H10" s="21" t="s">
        <v>123</v>
      </c>
      <c r="I10" s="21" t="s">
        <v>124</v>
      </c>
      <c r="J10" s="21" t="s">
        <v>125</v>
      </c>
      <c r="K10" s="21"/>
      <c r="L10" s="21" t="s">
        <v>22</v>
      </c>
      <c r="M10" s="21"/>
      <c r="N10" s="21" t="s">
        <v>126</v>
      </c>
      <c r="O10" s="21"/>
    </row>
    <row r="11" customFormat="false" ht="34.5" hidden="false" customHeight="true" outlineLevel="0" collapsed="false">
      <c r="A11" s="21" t="s">
        <v>127</v>
      </c>
      <c r="B11" s="22" t="n">
        <v>46296</v>
      </c>
      <c r="C11" s="21" t="s">
        <v>57</v>
      </c>
      <c r="D11" s="21" t="s">
        <v>32</v>
      </c>
      <c r="E11" s="21" t="s">
        <v>79</v>
      </c>
      <c r="F11" s="21" t="s">
        <v>128</v>
      </c>
      <c r="G11" s="21" t="s">
        <v>129</v>
      </c>
      <c r="H11" s="21" t="s">
        <v>130</v>
      </c>
      <c r="I11" s="21" t="s">
        <v>131</v>
      </c>
      <c r="J11" s="21" t="s">
        <v>132</v>
      </c>
      <c r="K11" s="21" t="s">
        <v>133</v>
      </c>
      <c r="L11" s="21" t="s">
        <v>22</v>
      </c>
      <c r="M11" s="21"/>
      <c r="N11" s="21" t="s">
        <v>134</v>
      </c>
      <c r="O11" s="21"/>
    </row>
    <row r="12" customFormat="false" ht="23.25" hidden="false" customHeight="true" outlineLevel="0" collapsed="false">
      <c r="A12" s="21" t="s">
        <v>135</v>
      </c>
      <c r="B12" s="22" t="n">
        <v>46296</v>
      </c>
      <c r="C12" s="21" t="s">
        <v>57</v>
      </c>
      <c r="D12" s="21" t="s">
        <v>32</v>
      </c>
      <c r="E12" s="21" t="s">
        <v>79</v>
      </c>
      <c r="F12" s="21" t="s">
        <v>136</v>
      </c>
      <c r="G12" s="21" t="s">
        <v>137</v>
      </c>
      <c r="H12" s="21" t="s">
        <v>138</v>
      </c>
      <c r="I12" s="21" t="s">
        <v>83</v>
      </c>
      <c r="J12" s="21" t="s">
        <v>132</v>
      </c>
      <c r="K12" s="21"/>
      <c r="L12" s="21" t="s">
        <v>22</v>
      </c>
      <c r="M12" s="21"/>
      <c r="N12" s="21" t="s">
        <v>86</v>
      </c>
      <c r="O12" s="21"/>
    </row>
    <row r="13" customFormat="false" ht="34.5" hidden="false" customHeight="true" outlineLevel="0" collapsed="false">
      <c r="A13" s="21" t="s">
        <v>139</v>
      </c>
      <c r="B13" s="22" t="n">
        <v>46296</v>
      </c>
      <c r="C13" s="21" t="s">
        <v>57</v>
      </c>
      <c r="D13" s="21" t="s">
        <v>32</v>
      </c>
      <c r="E13" s="21" t="s">
        <v>140</v>
      </c>
      <c r="F13" s="21" t="s">
        <v>141</v>
      </c>
      <c r="G13" s="21" t="s">
        <v>142</v>
      </c>
      <c r="H13" s="21" t="s">
        <v>143</v>
      </c>
      <c r="I13" s="21" t="s">
        <v>144</v>
      </c>
      <c r="J13" s="21" t="s">
        <v>145</v>
      </c>
      <c r="K13" s="21"/>
      <c r="L13" s="21" t="s">
        <v>22</v>
      </c>
      <c r="M13" s="21"/>
      <c r="N13" s="21" t="s">
        <v>146</v>
      </c>
      <c r="O13" s="21" t="s">
        <v>147</v>
      </c>
    </row>
    <row r="14" customFormat="false" ht="23.25" hidden="false" customHeight="true" outlineLevel="0" collapsed="false">
      <c r="A14" s="21" t="s">
        <v>148</v>
      </c>
      <c r="B14" s="22" t="n">
        <v>46296</v>
      </c>
      <c r="C14" s="21" t="s">
        <v>57</v>
      </c>
      <c r="D14" s="21" t="s">
        <v>32</v>
      </c>
      <c r="E14" s="21" t="s">
        <v>105</v>
      </c>
      <c r="F14" s="21" t="s">
        <v>149</v>
      </c>
      <c r="G14" s="21" t="s">
        <v>150</v>
      </c>
      <c r="H14" s="21" t="s">
        <v>151</v>
      </c>
      <c r="I14" s="21" t="s">
        <v>152</v>
      </c>
      <c r="J14" s="21" t="s">
        <v>153</v>
      </c>
      <c r="K14" s="21" t="s">
        <v>154</v>
      </c>
      <c r="L14" s="21" t="s">
        <v>22</v>
      </c>
      <c r="M14" s="21"/>
      <c r="N14" s="21" t="s">
        <v>111</v>
      </c>
      <c r="O14" s="21" t="s">
        <v>155</v>
      </c>
    </row>
    <row r="15" customFormat="false" ht="34.5" hidden="false" customHeight="true" outlineLevel="0" collapsed="false">
      <c r="A15" s="21" t="s">
        <v>156</v>
      </c>
      <c r="B15" s="22" t="n">
        <v>46318</v>
      </c>
      <c r="C15" s="21" t="s">
        <v>57</v>
      </c>
      <c r="D15" s="21" t="s">
        <v>32</v>
      </c>
      <c r="E15" s="21" t="s">
        <v>58</v>
      </c>
      <c r="F15" s="21" t="s">
        <v>157</v>
      </c>
      <c r="G15" s="21" t="s">
        <v>158</v>
      </c>
      <c r="H15" s="21" t="s">
        <v>159</v>
      </c>
      <c r="I15" s="21" t="s">
        <v>160</v>
      </c>
      <c r="J15" s="21" t="s">
        <v>92</v>
      </c>
      <c r="K15" s="21" t="s">
        <v>161</v>
      </c>
      <c r="L15" s="21" t="s">
        <v>26</v>
      </c>
      <c r="M15" s="21" t="s">
        <v>162</v>
      </c>
      <c r="N15" s="21" t="s">
        <v>163</v>
      </c>
      <c r="O15" s="21" t="s">
        <v>164</v>
      </c>
    </row>
    <row r="16" customFormat="false" ht="34.5" hidden="false" customHeight="true" outlineLevel="0" collapsed="false">
      <c r="A16" s="21" t="s">
        <v>162</v>
      </c>
      <c r="B16" s="22" t="n">
        <v>46299</v>
      </c>
      <c r="C16" s="21" t="s">
        <v>160</v>
      </c>
      <c r="D16" s="21" t="s">
        <v>32</v>
      </c>
      <c r="E16" s="21" t="s">
        <v>58</v>
      </c>
      <c r="F16" s="21" t="s">
        <v>165</v>
      </c>
      <c r="G16" s="21" t="s">
        <v>166</v>
      </c>
      <c r="H16" s="21" t="s">
        <v>167</v>
      </c>
      <c r="I16" s="21" t="s">
        <v>168</v>
      </c>
      <c r="J16" s="21" t="s">
        <v>169</v>
      </c>
      <c r="K16" s="21" t="s">
        <v>161</v>
      </c>
      <c r="L16" s="21" t="s">
        <v>22</v>
      </c>
      <c r="M16" s="21"/>
      <c r="N16" s="21" t="s">
        <v>170</v>
      </c>
      <c r="O16" s="21"/>
    </row>
    <row r="17" customFormat="false" ht="23.25" hidden="false" customHeight="true" outlineLevel="0" collapsed="false">
      <c r="A17" s="21" t="s">
        <v>171</v>
      </c>
      <c r="B17" s="22" t="n">
        <v>46299</v>
      </c>
      <c r="C17" s="21" t="s">
        <v>160</v>
      </c>
      <c r="D17" s="21" t="s">
        <v>32</v>
      </c>
      <c r="E17" s="21" t="s">
        <v>172</v>
      </c>
      <c r="F17" s="21" t="s">
        <v>173</v>
      </c>
      <c r="G17" s="21" t="s">
        <v>174</v>
      </c>
      <c r="H17" s="21" t="s">
        <v>175</v>
      </c>
      <c r="I17" s="21" t="s">
        <v>176</v>
      </c>
      <c r="J17" s="21" t="s">
        <v>92</v>
      </c>
      <c r="K17" s="21"/>
      <c r="L17" s="21" t="s">
        <v>22</v>
      </c>
      <c r="M17" s="21"/>
      <c r="N17" s="21" t="s">
        <v>177</v>
      </c>
      <c r="O17" s="21"/>
    </row>
    <row r="18" customFormat="false" ht="23.25" hidden="false" customHeight="true" outlineLevel="0" collapsed="false">
      <c r="A18" s="21" t="s">
        <v>178</v>
      </c>
      <c r="B18" s="22" t="n">
        <v>46299</v>
      </c>
      <c r="C18" s="21" t="s">
        <v>160</v>
      </c>
      <c r="D18" s="21" t="s">
        <v>32</v>
      </c>
      <c r="E18" s="21" t="s">
        <v>58</v>
      </c>
      <c r="F18" s="21" t="s">
        <v>179</v>
      </c>
      <c r="G18" s="21" t="s">
        <v>180</v>
      </c>
      <c r="H18" s="21" t="s">
        <v>181</v>
      </c>
      <c r="I18" s="21" t="s">
        <v>182</v>
      </c>
      <c r="J18" s="21" t="s">
        <v>92</v>
      </c>
      <c r="K18" s="21"/>
      <c r="L18" s="21" t="s">
        <v>22</v>
      </c>
      <c r="M18" s="21"/>
      <c r="N18" s="21" t="s">
        <v>177</v>
      </c>
      <c r="O18" s="21"/>
    </row>
    <row r="19" customFormat="false" ht="23.25" hidden="false" customHeight="true" outlineLevel="0" collapsed="false">
      <c r="A19" s="21" t="s">
        <v>183</v>
      </c>
      <c r="B19" s="22" t="n">
        <v>46299</v>
      </c>
      <c r="C19" s="21" t="s">
        <v>184</v>
      </c>
      <c r="D19" s="21" t="s">
        <v>32</v>
      </c>
      <c r="E19" s="21" t="s">
        <v>185</v>
      </c>
      <c r="F19" s="21" t="s">
        <v>186</v>
      </c>
      <c r="G19" s="21" t="s">
        <v>187</v>
      </c>
      <c r="H19" s="21" t="s">
        <v>188</v>
      </c>
      <c r="I19" s="21" t="s">
        <v>189</v>
      </c>
      <c r="J19" s="21" t="s">
        <v>190</v>
      </c>
      <c r="K19" s="21" t="s">
        <v>191</v>
      </c>
      <c r="L19" s="21" t="s">
        <v>22</v>
      </c>
      <c r="M19" s="21"/>
      <c r="N19" s="21" t="s">
        <v>192</v>
      </c>
      <c r="O19" s="21" t="s">
        <v>193</v>
      </c>
    </row>
    <row r="20" customFormat="false" ht="34.5" hidden="false" customHeight="true" outlineLevel="0" collapsed="false">
      <c r="A20" s="21" t="s">
        <v>194</v>
      </c>
      <c r="B20" s="22" t="n">
        <v>46299</v>
      </c>
      <c r="C20" s="21" t="s">
        <v>184</v>
      </c>
      <c r="D20" s="21" t="s">
        <v>32</v>
      </c>
      <c r="E20" s="21" t="s">
        <v>140</v>
      </c>
      <c r="F20" s="21" t="s">
        <v>195</v>
      </c>
      <c r="G20" s="21" t="s">
        <v>196</v>
      </c>
      <c r="H20" s="21" t="s">
        <v>197</v>
      </c>
      <c r="I20" s="21" t="s">
        <v>198</v>
      </c>
      <c r="J20" s="21" t="s">
        <v>145</v>
      </c>
      <c r="K20" s="21"/>
      <c r="L20" s="21" t="s">
        <v>22</v>
      </c>
      <c r="M20" s="21"/>
      <c r="N20" s="21" t="s">
        <v>192</v>
      </c>
      <c r="O20" s="21" t="s">
        <v>199</v>
      </c>
    </row>
    <row r="21" customFormat="false" ht="23.25" hidden="false" customHeight="true" outlineLevel="0" collapsed="false">
      <c r="A21" s="21" t="s">
        <v>200</v>
      </c>
      <c r="B21" s="22" t="n">
        <v>46301</v>
      </c>
      <c r="C21" s="21" t="s">
        <v>184</v>
      </c>
      <c r="D21" s="21" t="s">
        <v>32</v>
      </c>
      <c r="E21" s="21" t="s">
        <v>58</v>
      </c>
      <c r="F21" s="21" t="s">
        <v>201</v>
      </c>
      <c r="G21" s="21" t="s">
        <v>202</v>
      </c>
      <c r="H21" s="21" t="s">
        <v>203</v>
      </c>
      <c r="I21" s="21" t="s">
        <v>204</v>
      </c>
      <c r="J21" s="21" t="s">
        <v>205</v>
      </c>
      <c r="K21" s="21" t="s">
        <v>206</v>
      </c>
      <c r="L21" s="21" t="s">
        <v>22</v>
      </c>
      <c r="M21" s="21"/>
      <c r="N21" s="21" t="s">
        <v>192</v>
      </c>
      <c r="O21" s="21"/>
    </row>
    <row r="22" customFormat="false" ht="23.25" hidden="false" customHeight="true" outlineLevel="0" collapsed="false">
      <c r="A22" s="21" t="s">
        <v>207</v>
      </c>
      <c r="B22" s="22" t="n">
        <v>46301</v>
      </c>
      <c r="C22" s="21" t="s">
        <v>184</v>
      </c>
      <c r="D22" s="21" t="s">
        <v>32</v>
      </c>
      <c r="E22" s="21" t="s">
        <v>208</v>
      </c>
      <c r="F22" s="21" t="s">
        <v>209</v>
      </c>
      <c r="G22" s="21" t="s">
        <v>210</v>
      </c>
      <c r="H22" s="21" t="s">
        <v>211</v>
      </c>
      <c r="I22" s="21" t="s">
        <v>212</v>
      </c>
      <c r="J22" s="21"/>
      <c r="K22" s="21"/>
      <c r="L22" s="21" t="s">
        <v>22</v>
      </c>
      <c r="M22" s="21"/>
      <c r="N22" s="21" t="s">
        <v>192</v>
      </c>
      <c r="O22" s="21"/>
    </row>
    <row r="23" customFormat="false" ht="34.5" hidden="false" customHeight="true" outlineLevel="0" collapsed="false">
      <c r="A23" s="21" t="s">
        <v>213</v>
      </c>
      <c r="B23" s="22" t="n">
        <v>46301</v>
      </c>
      <c r="C23" s="21" t="s">
        <v>184</v>
      </c>
      <c r="D23" s="21" t="s">
        <v>32</v>
      </c>
      <c r="E23" s="21" t="s">
        <v>208</v>
      </c>
      <c r="F23" s="21" t="s">
        <v>214</v>
      </c>
      <c r="G23" s="21" t="s">
        <v>215</v>
      </c>
      <c r="H23" s="21" t="s">
        <v>216</v>
      </c>
      <c r="I23" s="21" t="s">
        <v>217</v>
      </c>
      <c r="J23" s="21" t="s">
        <v>218</v>
      </c>
      <c r="K23" s="21" t="s">
        <v>219</v>
      </c>
      <c r="L23" s="21" t="s">
        <v>22</v>
      </c>
      <c r="M23" s="21"/>
      <c r="N23" s="21" t="s">
        <v>192</v>
      </c>
      <c r="O23" s="21"/>
    </row>
    <row r="24" customFormat="false" ht="23.25" hidden="false" customHeight="true" outlineLevel="0" collapsed="false">
      <c r="A24" s="21" t="s">
        <v>220</v>
      </c>
      <c r="B24" s="22" t="n">
        <v>46301</v>
      </c>
      <c r="C24" s="21" t="s">
        <v>184</v>
      </c>
      <c r="D24" s="21" t="s">
        <v>32</v>
      </c>
      <c r="E24" s="21" t="s">
        <v>208</v>
      </c>
      <c r="F24" s="21" t="s">
        <v>221</v>
      </c>
      <c r="G24" s="21" t="s">
        <v>222</v>
      </c>
      <c r="H24" s="21" t="s">
        <v>223</v>
      </c>
      <c r="I24" s="21"/>
      <c r="J24" s="21" t="s">
        <v>224</v>
      </c>
      <c r="K24" s="21"/>
      <c r="L24" s="21" t="s">
        <v>22</v>
      </c>
      <c r="M24" s="21"/>
      <c r="N24" s="21" t="s">
        <v>192</v>
      </c>
      <c r="O24" s="21"/>
    </row>
    <row r="25" customFormat="false" ht="34.5" hidden="false" customHeight="true" outlineLevel="0" collapsed="false">
      <c r="A25" s="21" t="s">
        <v>225</v>
      </c>
      <c r="B25" s="22" t="n">
        <v>46305</v>
      </c>
      <c r="C25" s="21" t="s">
        <v>226</v>
      </c>
      <c r="D25" s="21" t="s">
        <v>32</v>
      </c>
      <c r="E25" s="21" t="s">
        <v>79</v>
      </c>
      <c r="F25" s="21" t="s">
        <v>227</v>
      </c>
      <c r="G25" s="21" t="s">
        <v>228</v>
      </c>
      <c r="H25" s="21" t="s">
        <v>229</v>
      </c>
      <c r="I25" s="21" t="s">
        <v>230</v>
      </c>
      <c r="J25" s="21" t="s">
        <v>231</v>
      </c>
      <c r="K25" s="21" t="s">
        <v>232</v>
      </c>
      <c r="L25" s="21" t="s">
        <v>22</v>
      </c>
      <c r="M25" s="21"/>
      <c r="N25" s="21" t="s">
        <v>233</v>
      </c>
      <c r="O25" s="21"/>
    </row>
    <row r="26" customFormat="false" ht="34.5" hidden="false" customHeight="true" outlineLevel="0" collapsed="false">
      <c r="A26" s="21" t="s">
        <v>234</v>
      </c>
      <c r="B26" s="22" t="n">
        <v>46305</v>
      </c>
      <c r="C26" s="21" t="s">
        <v>226</v>
      </c>
      <c r="D26" s="21" t="s">
        <v>32</v>
      </c>
      <c r="E26" s="21" t="s">
        <v>79</v>
      </c>
      <c r="F26" s="21" t="s">
        <v>235</v>
      </c>
      <c r="G26" s="21" t="s">
        <v>236</v>
      </c>
      <c r="H26" s="21" t="s">
        <v>237</v>
      </c>
      <c r="I26" s="21" t="s">
        <v>238</v>
      </c>
      <c r="J26" s="21" t="s">
        <v>239</v>
      </c>
      <c r="K26" s="21" t="s">
        <v>240</v>
      </c>
      <c r="L26" s="21" t="s">
        <v>22</v>
      </c>
      <c r="M26" s="21"/>
      <c r="N26" s="21" t="s">
        <v>233</v>
      </c>
      <c r="O26" s="21"/>
    </row>
    <row r="27" customFormat="false" ht="23.25" hidden="false" customHeight="true" outlineLevel="0" collapsed="false">
      <c r="A27" s="21" t="s">
        <v>241</v>
      </c>
      <c r="B27" s="22" t="n">
        <v>46317</v>
      </c>
      <c r="C27" s="21" t="s">
        <v>226</v>
      </c>
      <c r="D27" s="21" t="s">
        <v>32</v>
      </c>
      <c r="E27" s="21" t="s">
        <v>79</v>
      </c>
      <c r="F27" s="21" t="s">
        <v>242</v>
      </c>
      <c r="G27" s="21" t="s">
        <v>243</v>
      </c>
      <c r="H27" s="21" t="s">
        <v>244</v>
      </c>
      <c r="I27" s="21" t="s">
        <v>245</v>
      </c>
      <c r="J27" s="21" t="s">
        <v>246</v>
      </c>
      <c r="K27" s="21" t="s">
        <v>247</v>
      </c>
      <c r="L27" s="21" t="s">
        <v>22</v>
      </c>
      <c r="M27" s="21"/>
      <c r="N27" s="21" t="s">
        <v>233</v>
      </c>
      <c r="O27" s="21" t="s">
        <v>248</v>
      </c>
    </row>
    <row r="28" customFormat="false" ht="23.25" hidden="false" customHeight="true" outlineLevel="0" collapsed="false">
      <c r="A28" s="21" t="s">
        <v>249</v>
      </c>
      <c r="B28" s="22" t="n">
        <v>46317</v>
      </c>
      <c r="C28" s="21" t="s">
        <v>226</v>
      </c>
      <c r="D28" s="21" t="s">
        <v>32</v>
      </c>
      <c r="E28" s="21" t="s">
        <v>79</v>
      </c>
      <c r="F28" s="21" t="s">
        <v>250</v>
      </c>
      <c r="G28" s="21" t="s">
        <v>251</v>
      </c>
      <c r="H28" s="21" t="s">
        <v>252</v>
      </c>
      <c r="I28" s="21" t="s">
        <v>253</v>
      </c>
      <c r="J28" s="21"/>
      <c r="K28" s="21" t="s">
        <v>85</v>
      </c>
      <c r="L28" s="21" t="s">
        <v>22</v>
      </c>
      <c r="M28" s="21"/>
      <c r="N28" s="21" t="s">
        <v>233</v>
      </c>
      <c r="O28" s="21"/>
    </row>
    <row r="29" customFormat="false" ht="34.5" hidden="false" customHeight="true" outlineLevel="0" collapsed="false">
      <c r="A29" s="21" t="s">
        <v>254</v>
      </c>
      <c r="B29" s="22" t="n">
        <v>46318</v>
      </c>
      <c r="C29" s="21" t="s">
        <v>255</v>
      </c>
      <c r="D29" s="21" t="s">
        <v>32</v>
      </c>
      <c r="E29" s="21" t="s">
        <v>256</v>
      </c>
      <c r="F29" s="21" t="s">
        <v>257</v>
      </c>
      <c r="G29" s="21" t="s">
        <v>258</v>
      </c>
      <c r="H29" s="21" t="s">
        <v>259</v>
      </c>
      <c r="I29" s="21" t="s">
        <v>260</v>
      </c>
      <c r="J29" s="21"/>
      <c r="K29" s="21"/>
      <c r="L29" s="21" t="s">
        <v>22</v>
      </c>
      <c r="M29" s="21"/>
      <c r="N29" s="21"/>
      <c r="O29" s="21"/>
    </row>
    <row r="30" customFormat="false" ht="23.25" hidden="false" customHeight="true" outlineLevel="0" collapsed="false">
      <c r="A30" s="21" t="s">
        <v>261</v>
      </c>
      <c r="B30" s="22" t="n">
        <v>46318</v>
      </c>
      <c r="C30" s="21" t="s">
        <v>255</v>
      </c>
      <c r="D30" s="21" t="s">
        <v>31</v>
      </c>
      <c r="E30" s="21" t="s">
        <v>79</v>
      </c>
      <c r="F30" s="21" t="s">
        <v>262</v>
      </c>
      <c r="G30" s="21" t="s">
        <v>263</v>
      </c>
      <c r="H30" s="21" t="s">
        <v>264</v>
      </c>
      <c r="I30" s="21" t="s">
        <v>265</v>
      </c>
      <c r="J30" s="21" t="s">
        <v>266</v>
      </c>
      <c r="K30" s="21" t="s">
        <v>267</v>
      </c>
      <c r="L30" s="21" t="s">
        <v>22</v>
      </c>
      <c r="M30" s="21"/>
      <c r="N30" s="21" t="s">
        <v>268</v>
      </c>
      <c r="O30" s="21" t="s">
        <v>269</v>
      </c>
    </row>
    <row r="31" customFormat="false" ht="23.25" hidden="false" customHeight="true" outlineLevel="0" collapsed="false">
      <c r="A31" s="21" t="s">
        <v>270</v>
      </c>
      <c r="B31" s="22" t="n">
        <v>46318</v>
      </c>
      <c r="C31" s="21" t="s">
        <v>255</v>
      </c>
      <c r="D31" s="21" t="s">
        <v>31</v>
      </c>
      <c r="E31" s="21" t="s">
        <v>79</v>
      </c>
      <c r="F31" s="21" t="s">
        <v>271</v>
      </c>
      <c r="G31" s="21" t="s">
        <v>272</v>
      </c>
      <c r="H31" s="21" t="s">
        <v>273</v>
      </c>
      <c r="I31" s="21" t="s">
        <v>274</v>
      </c>
      <c r="J31" s="21" t="s">
        <v>275</v>
      </c>
      <c r="K31" s="21" t="s">
        <v>276</v>
      </c>
      <c r="L31" s="21" t="s">
        <v>20</v>
      </c>
      <c r="M31" s="21"/>
      <c r="N31" s="21" t="s">
        <v>277</v>
      </c>
      <c r="O31" s="21" t="s">
        <v>278</v>
      </c>
    </row>
    <row r="32" customFormat="false" ht="23.25" hidden="false" customHeight="true" outlineLevel="0" collapsed="false">
      <c r="A32" s="21" t="s">
        <v>279</v>
      </c>
      <c r="B32" s="22" t="n">
        <v>46318</v>
      </c>
      <c r="C32" s="21" t="s">
        <v>255</v>
      </c>
      <c r="D32" s="21" t="s">
        <v>31</v>
      </c>
      <c r="E32" s="21" t="s">
        <v>79</v>
      </c>
      <c r="F32" s="21" t="s">
        <v>280</v>
      </c>
      <c r="G32" s="21" t="s">
        <v>281</v>
      </c>
      <c r="H32" s="21" t="s">
        <v>282</v>
      </c>
      <c r="I32" s="21" t="s">
        <v>283</v>
      </c>
      <c r="J32" s="21" t="s">
        <v>284</v>
      </c>
      <c r="K32" s="21" t="s">
        <v>133</v>
      </c>
      <c r="L32" s="21" t="s">
        <v>20</v>
      </c>
      <c r="M32" s="21"/>
      <c r="N32" s="21" t="s">
        <v>285</v>
      </c>
      <c r="O32" s="21" t="s">
        <v>286</v>
      </c>
    </row>
    <row r="33" customFormat="false" ht="23.25" hidden="false" customHeight="true" outlineLevel="0" collapsed="false">
      <c r="A33" s="21" t="s">
        <v>287</v>
      </c>
      <c r="B33" s="22" t="n">
        <v>46318</v>
      </c>
      <c r="C33" s="21" t="s">
        <v>255</v>
      </c>
      <c r="D33" s="21" t="s">
        <v>31</v>
      </c>
      <c r="E33" s="21" t="s">
        <v>79</v>
      </c>
      <c r="F33" s="21" t="s">
        <v>288</v>
      </c>
      <c r="G33" s="21" t="s">
        <v>289</v>
      </c>
      <c r="H33" s="21" t="s">
        <v>290</v>
      </c>
      <c r="I33" s="21" t="s">
        <v>291</v>
      </c>
      <c r="J33" s="21" t="s">
        <v>292</v>
      </c>
      <c r="K33" s="21" t="s">
        <v>293</v>
      </c>
      <c r="L33" s="21" t="s">
        <v>22</v>
      </c>
      <c r="M33" s="21"/>
      <c r="N33" s="21" t="s">
        <v>294</v>
      </c>
      <c r="O33" s="21" t="s">
        <v>269</v>
      </c>
    </row>
    <row r="34" customFormat="false" ht="15" hidden="false" customHeight="true" outlineLevel="0" collapsed="false">
      <c r="A34" s="21"/>
      <c r="B34" s="22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customFormat="false" ht="15" hidden="false" customHeight="true" outlineLevel="0" collapsed="false">
      <c r="A35" s="21"/>
      <c r="B35" s="22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customFormat="false" ht="15" hidden="false" customHeight="true" outlineLevel="0" collapsed="false">
      <c r="A36" s="21"/>
      <c r="B36" s="22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customFormat="false" ht="15" hidden="false" customHeight="true" outlineLevel="0" collapsed="false">
      <c r="A37" s="21"/>
      <c r="B37" s="22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customFormat="false" ht="15" hidden="false" customHeight="true" outlineLevel="0" collapsed="false">
      <c r="A38" s="21"/>
      <c r="B38" s="22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customFormat="false" ht="15" hidden="false" customHeight="true" outlineLevel="0" collapsed="false">
      <c r="A39" s="21"/>
      <c r="B39" s="22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customFormat="false" ht="15" hidden="false" customHeight="true" outlineLevel="0" collapsed="false">
      <c r="A40" s="21"/>
      <c r="B40" s="22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customFormat="false" ht="15" hidden="false" customHeight="true" outlineLevel="0" collapsed="false">
      <c r="A41" s="21"/>
      <c r="B41" s="22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customFormat="false" ht="15" hidden="false" customHeight="true" outlineLevel="0" collapsed="false">
      <c r="A42" s="21"/>
      <c r="B42" s="22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customFormat="false" ht="15" hidden="false" customHeight="true" outlineLevel="0" collapsed="false">
      <c r="A43" s="21"/>
      <c r="B43" s="22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customFormat="false" ht="15" hidden="false" customHeight="true" outlineLevel="0" collapsed="false">
      <c r="A44" s="21"/>
      <c r="B44" s="22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customFormat="false" ht="15" hidden="false" customHeight="true" outlineLevel="0" collapsed="false">
      <c r="A45" s="21"/>
      <c r="B45" s="22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customFormat="false" ht="15" hidden="false" customHeight="true" outlineLevel="0" collapsed="false">
      <c r="A46" s="21"/>
      <c r="B46" s="22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customFormat="false" ht="15" hidden="false" customHeight="true" outlineLevel="0" collapsed="false">
      <c r="A47" s="21"/>
      <c r="B47" s="22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customFormat="false" ht="15" hidden="false" customHeight="true" outlineLevel="0" collapsed="false">
      <c r="A48" s="21"/>
      <c r="B48" s="2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customFormat="false" ht="15" hidden="false" customHeight="true" outlineLevel="0" collapsed="false">
      <c r="A49" s="21"/>
      <c r="B49" s="22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customFormat="false" ht="15" hidden="false" customHeight="true" outlineLevel="0" collapsed="false">
      <c r="A50" s="21"/>
      <c r="B50" s="22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 customFormat="false" ht="15" hidden="false" customHeight="true" outlineLevel="0" collapsed="false">
      <c r="A51" s="21"/>
      <c r="B51" s="2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customFormat="false" ht="15" hidden="false" customHeight="true" outlineLevel="0" collapsed="false">
      <c r="A52" s="21"/>
      <c r="B52" s="22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</sheetData>
  <autoFilter ref="A1:O52"/>
  <conditionalFormatting sqref="A2:O52">
    <cfRule type="expression" priority="2" aboveAverage="0" equalAverage="0" bottom="0" percent="0" rank="0" text="" dxfId="5">
      <formula>$L2="Aperta"</formula>
    </cfRule>
    <cfRule type="expression" priority="3" aboveAverage="0" equalAverage="0" bottom="0" percent="0" rank="0" text="" dxfId="6">
      <formula>$L2="Proposta"</formula>
    </cfRule>
    <cfRule type="expression" priority="4" aboveAverage="0" equalAverage="0" bottom="0" percent="0" rank="0" text="" dxfId="7">
      <formula>$L2="Provvisoria"</formula>
    </cfRule>
    <cfRule type="expression" priority="5" aboveAverage="0" equalAverage="0" bottom="0" percent="0" rank="0" text="" dxfId="8">
      <formula>$L2="Superata"</formula>
    </cfRule>
  </conditionalFormatting>
  <dataValidations count="4">
    <dataValidation allowBlank="true" error="Scegli un valore dalla lista" errorStyle="stop" operator="between" showDropDown="false" showErrorMessage="false" showInputMessage="false" sqref="C2:C52" type="list">
      <formula1>Liste!$D$2:$D$10</formula1>
      <formula2>0</formula2>
    </dataValidation>
    <dataValidation allowBlank="true" error="Scegli un valore dalla lista" errorStyle="stop" operator="between" showDropDown="false" showErrorMessage="false" showInputMessage="false" sqref="D2:D52" type="list">
      <formula1>Liste!$B$2:$B$4</formula1>
      <formula2>0</formula2>
    </dataValidation>
    <dataValidation allowBlank="true" error="Scegli un valore dalla lista" errorStyle="stop" operator="between" showDropDown="false" showErrorMessage="false" showInputMessage="false" sqref="E2:E52" type="list">
      <formula1>Liste!$C$2:$C$13</formula1>
      <formula2>0</formula2>
    </dataValidation>
    <dataValidation allowBlank="true" error="Scegli un valore dalla lista" errorStyle="stop" operator="between" showDropDown="false" showErrorMessage="false" showInputMessage="false" sqref="L2:L52" type="list">
      <formula1>Liste!$A$2:$A$6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60"/>
    <col collapsed="false" customWidth="true" hidden="false" outlineLevel="0" max="5" min="4" style="1" width="22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0" t="s">
        <v>42</v>
      </c>
      <c r="B1" s="20" t="s">
        <v>295</v>
      </c>
      <c r="C1" s="20" t="s">
        <v>296</v>
      </c>
      <c r="D1" s="20" t="s">
        <v>297</v>
      </c>
      <c r="E1" s="20" t="s">
        <v>298</v>
      </c>
      <c r="F1" s="20" t="s">
        <v>29</v>
      </c>
      <c r="G1" s="20" t="s">
        <v>299</v>
      </c>
      <c r="H1" s="20" t="s">
        <v>300</v>
      </c>
      <c r="I1" s="20" t="s">
        <v>55</v>
      </c>
    </row>
    <row r="2" customFormat="false" ht="15" hidden="false" customHeight="true" outlineLevel="0" collapsed="false">
      <c r="A2" s="21" t="s">
        <v>77</v>
      </c>
      <c r="B2" s="21" t="s">
        <v>58</v>
      </c>
      <c r="C2" s="21" t="s">
        <v>301</v>
      </c>
      <c r="D2" s="21" t="s">
        <v>302</v>
      </c>
      <c r="E2" s="21" t="s">
        <v>303</v>
      </c>
      <c r="F2" s="21" t="s">
        <v>304</v>
      </c>
      <c r="G2" s="21" t="s">
        <v>72</v>
      </c>
      <c r="H2" s="21" t="s">
        <v>30</v>
      </c>
      <c r="I2" s="21" t="s">
        <v>305</v>
      </c>
    </row>
    <row r="3" customFormat="false" ht="45.75" hidden="false" customHeight="true" outlineLevel="0" collapsed="false">
      <c r="A3" s="21" t="s">
        <v>92</v>
      </c>
      <c r="B3" s="21" t="s">
        <v>58</v>
      </c>
      <c r="C3" s="21" t="s">
        <v>306</v>
      </c>
      <c r="D3" s="21" t="s">
        <v>307</v>
      </c>
      <c r="E3" s="21" t="s">
        <v>308</v>
      </c>
      <c r="F3" s="21" t="s">
        <v>304</v>
      </c>
      <c r="G3" s="21" t="s">
        <v>309</v>
      </c>
      <c r="H3" s="21" t="s">
        <v>30</v>
      </c>
      <c r="I3" s="21" t="s">
        <v>310</v>
      </c>
    </row>
    <row r="4" customFormat="false" ht="23.25" hidden="false" customHeight="true" outlineLevel="0" collapsed="false">
      <c r="A4" s="21" t="s">
        <v>84</v>
      </c>
      <c r="B4" s="21" t="s">
        <v>58</v>
      </c>
      <c r="C4" s="21" t="s">
        <v>311</v>
      </c>
      <c r="D4" s="21" t="s">
        <v>312</v>
      </c>
      <c r="E4" s="21" t="s">
        <v>313</v>
      </c>
      <c r="F4" s="21" t="s">
        <v>304</v>
      </c>
      <c r="G4" s="21" t="s">
        <v>314</v>
      </c>
      <c r="H4" s="21" t="s">
        <v>31</v>
      </c>
      <c r="I4" s="21" t="s">
        <v>315</v>
      </c>
    </row>
    <row r="5" customFormat="false" ht="23.25" hidden="false" customHeight="true" outlineLevel="0" collapsed="false">
      <c r="A5" s="21" t="s">
        <v>316</v>
      </c>
      <c r="B5" s="21" t="s">
        <v>58</v>
      </c>
      <c r="C5" s="21" t="s">
        <v>317</v>
      </c>
      <c r="D5" s="21" t="s">
        <v>318</v>
      </c>
      <c r="E5" s="21" t="s">
        <v>319</v>
      </c>
      <c r="F5" s="21" t="s">
        <v>320</v>
      </c>
      <c r="G5" s="21" t="s">
        <v>321</v>
      </c>
      <c r="H5" s="21" t="s">
        <v>31</v>
      </c>
      <c r="I5" s="21" t="s">
        <v>322</v>
      </c>
    </row>
    <row r="6" customFormat="false" ht="23.25" hidden="false" customHeight="true" outlineLevel="0" collapsed="false">
      <c r="A6" s="21" t="s">
        <v>101</v>
      </c>
      <c r="B6" s="21" t="s">
        <v>58</v>
      </c>
      <c r="C6" s="21" t="s">
        <v>323</v>
      </c>
      <c r="D6" s="21" t="s">
        <v>324</v>
      </c>
      <c r="E6" s="21" t="s">
        <v>325</v>
      </c>
      <c r="F6" s="21" t="s">
        <v>304</v>
      </c>
      <c r="G6" s="21" t="s">
        <v>95</v>
      </c>
      <c r="H6" s="21" t="s">
        <v>30</v>
      </c>
      <c r="I6" s="21"/>
    </row>
    <row r="7" customFormat="false" ht="23.25" hidden="false" customHeight="true" outlineLevel="0" collapsed="false">
      <c r="A7" s="21" t="s">
        <v>326</v>
      </c>
      <c r="B7" s="21" t="s">
        <v>58</v>
      </c>
      <c r="C7" s="21" t="s">
        <v>327</v>
      </c>
      <c r="D7" s="21"/>
      <c r="E7" s="21" t="s">
        <v>328</v>
      </c>
      <c r="F7" s="21" t="s">
        <v>304</v>
      </c>
      <c r="G7" s="21" t="s">
        <v>64</v>
      </c>
      <c r="H7" s="21" t="s">
        <v>31</v>
      </c>
      <c r="I7" s="21" t="s">
        <v>329</v>
      </c>
    </row>
    <row r="8" customFormat="false" ht="23.25" hidden="false" customHeight="true" outlineLevel="0" collapsed="false">
      <c r="A8" s="21" t="s">
        <v>153</v>
      </c>
      <c r="B8" s="21" t="s">
        <v>58</v>
      </c>
      <c r="C8" s="21" t="s">
        <v>330</v>
      </c>
      <c r="D8" s="21" t="s">
        <v>331</v>
      </c>
      <c r="E8" s="21" t="s">
        <v>332</v>
      </c>
      <c r="F8" s="21" t="s">
        <v>333</v>
      </c>
      <c r="G8" s="21" t="s">
        <v>148</v>
      </c>
      <c r="H8" s="21" t="s">
        <v>31</v>
      </c>
      <c r="I8" s="21" t="s">
        <v>155</v>
      </c>
    </row>
    <row r="9" customFormat="false" ht="23.25" hidden="false" customHeight="true" outlineLevel="0" collapsed="false">
      <c r="A9" s="21" t="s">
        <v>334</v>
      </c>
      <c r="B9" s="21" t="s">
        <v>58</v>
      </c>
      <c r="C9" s="21" t="s">
        <v>335</v>
      </c>
      <c r="D9" s="21"/>
      <c r="E9" s="21" t="s">
        <v>336</v>
      </c>
      <c r="F9" s="21" t="s">
        <v>304</v>
      </c>
      <c r="G9" s="21" t="s">
        <v>64</v>
      </c>
      <c r="H9" s="21" t="s">
        <v>31</v>
      </c>
      <c r="I9" s="21"/>
    </row>
    <row r="10" customFormat="false" ht="23.25" hidden="false" customHeight="true" outlineLevel="0" collapsed="false">
      <c r="A10" s="21" t="s">
        <v>110</v>
      </c>
      <c r="B10" s="21" t="s">
        <v>58</v>
      </c>
      <c r="C10" s="21" t="s">
        <v>337</v>
      </c>
      <c r="D10" s="21" t="s">
        <v>338</v>
      </c>
      <c r="E10" s="21" t="s">
        <v>339</v>
      </c>
      <c r="F10" s="21" t="s">
        <v>320</v>
      </c>
      <c r="G10" s="21" t="s">
        <v>104</v>
      </c>
      <c r="H10" s="21" t="s">
        <v>31</v>
      </c>
      <c r="I10" s="21"/>
    </row>
    <row r="11" customFormat="false" ht="23.25" hidden="false" customHeight="true" outlineLevel="0" collapsed="false">
      <c r="A11" s="21" t="s">
        <v>117</v>
      </c>
      <c r="B11" s="21" t="s">
        <v>58</v>
      </c>
      <c r="C11" s="21" t="s">
        <v>340</v>
      </c>
      <c r="D11" s="21"/>
      <c r="E11" s="21" t="s">
        <v>341</v>
      </c>
      <c r="F11" s="21" t="s">
        <v>304</v>
      </c>
      <c r="G11" s="21" t="s">
        <v>112</v>
      </c>
      <c r="H11" s="21" t="s">
        <v>31</v>
      </c>
      <c r="I11" s="21"/>
    </row>
    <row r="12" customFormat="false" ht="23.25" hidden="false" customHeight="true" outlineLevel="0" collapsed="false">
      <c r="A12" s="21" t="s">
        <v>145</v>
      </c>
      <c r="B12" s="21" t="s">
        <v>58</v>
      </c>
      <c r="C12" s="21" t="s">
        <v>342</v>
      </c>
      <c r="D12" s="21" t="s">
        <v>343</v>
      </c>
      <c r="E12" s="21" t="s">
        <v>344</v>
      </c>
      <c r="F12" s="21" t="s">
        <v>304</v>
      </c>
      <c r="G12" s="21" t="s">
        <v>345</v>
      </c>
      <c r="H12" s="21" t="s">
        <v>30</v>
      </c>
      <c r="I12" s="21" t="s">
        <v>346</v>
      </c>
    </row>
    <row r="13" customFormat="false" ht="15" hidden="false" customHeight="true" outlineLevel="0" collapsed="false">
      <c r="A13" s="21" t="s">
        <v>205</v>
      </c>
      <c r="B13" s="21" t="s">
        <v>58</v>
      </c>
      <c r="C13" s="21" t="s">
        <v>347</v>
      </c>
      <c r="D13" s="21" t="s">
        <v>348</v>
      </c>
      <c r="E13" s="21" t="s">
        <v>344</v>
      </c>
      <c r="F13" s="21" t="s">
        <v>304</v>
      </c>
      <c r="G13" s="21" t="s">
        <v>349</v>
      </c>
      <c r="H13" s="21" t="s">
        <v>30</v>
      </c>
      <c r="I13" s="21"/>
    </row>
    <row r="14" customFormat="false" ht="23.25" hidden="false" customHeight="true" outlineLevel="0" collapsed="false">
      <c r="A14" s="21" t="s">
        <v>350</v>
      </c>
      <c r="B14" s="21" t="s">
        <v>58</v>
      </c>
      <c r="C14" s="21" t="s">
        <v>351</v>
      </c>
      <c r="D14" s="21" t="s">
        <v>352</v>
      </c>
      <c r="E14" s="21" t="s">
        <v>339</v>
      </c>
      <c r="F14" s="21" t="s">
        <v>304</v>
      </c>
      <c r="G14" s="21" t="s">
        <v>120</v>
      </c>
      <c r="H14" s="21" t="s">
        <v>32</v>
      </c>
      <c r="I14" s="21" t="s">
        <v>353</v>
      </c>
    </row>
    <row r="15" customFormat="false" ht="23.25" hidden="false" customHeight="true" outlineLevel="0" collapsed="false">
      <c r="A15" s="21" t="s">
        <v>224</v>
      </c>
      <c r="B15" s="21" t="s">
        <v>58</v>
      </c>
      <c r="C15" s="21" t="s">
        <v>354</v>
      </c>
      <c r="D15" s="21"/>
      <c r="E15" s="21" t="s">
        <v>344</v>
      </c>
      <c r="F15" s="21" t="s">
        <v>304</v>
      </c>
      <c r="G15" s="21" t="s">
        <v>220</v>
      </c>
      <c r="H15" s="21" t="s">
        <v>30</v>
      </c>
      <c r="I15" s="21" t="s">
        <v>355</v>
      </c>
    </row>
    <row r="16" customFormat="false" ht="23.25" hidden="false" customHeight="true" outlineLevel="0" collapsed="false">
      <c r="A16" s="21" t="s">
        <v>190</v>
      </c>
      <c r="B16" s="21" t="s">
        <v>185</v>
      </c>
      <c r="C16" s="21" t="s">
        <v>356</v>
      </c>
      <c r="D16" s="21" t="s">
        <v>357</v>
      </c>
      <c r="E16" s="21" t="s">
        <v>358</v>
      </c>
      <c r="F16" s="21" t="s">
        <v>333</v>
      </c>
      <c r="G16" s="21" t="s">
        <v>359</v>
      </c>
      <c r="H16" s="21" t="s">
        <v>30</v>
      </c>
      <c r="I16" s="21" t="s">
        <v>360</v>
      </c>
    </row>
    <row r="17" customFormat="false" ht="15" hidden="false" customHeight="true" outlineLevel="0" collapsed="false">
      <c r="A17" s="21" t="s">
        <v>361</v>
      </c>
      <c r="B17" s="21" t="s">
        <v>362</v>
      </c>
      <c r="C17" s="21" t="s">
        <v>363</v>
      </c>
      <c r="D17" s="21" t="s">
        <v>364</v>
      </c>
      <c r="E17" s="21" t="s">
        <v>344</v>
      </c>
      <c r="F17" s="21" t="s">
        <v>304</v>
      </c>
      <c r="G17" s="21" t="s">
        <v>365</v>
      </c>
      <c r="H17" s="21" t="s">
        <v>31</v>
      </c>
      <c r="I17" s="21" t="s">
        <v>366</v>
      </c>
    </row>
    <row r="18" customFormat="false" ht="23.25" hidden="false" customHeight="true" outlineLevel="0" collapsed="false">
      <c r="A18" s="21" t="s">
        <v>367</v>
      </c>
      <c r="B18" s="21" t="s">
        <v>362</v>
      </c>
      <c r="C18" s="21" t="s">
        <v>368</v>
      </c>
      <c r="D18" s="21" t="s">
        <v>369</v>
      </c>
      <c r="E18" s="21" t="s">
        <v>325</v>
      </c>
      <c r="F18" s="21" t="s">
        <v>320</v>
      </c>
      <c r="G18" s="21" t="s">
        <v>365</v>
      </c>
      <c r="H18" s="21" t="s">
        <v>30</v>
      </c>
      <c r="I18" s="21" t="s">
        <v>370</v>
      </c>
    </row>
    <row r="19" customFormat="false" ht="23.25" hidden="false" customHeight="true" outlineLevel="0" collapsed="false">
      <c r="A19" s="21" t="s">
        <v>371</v>
      </c>
      <c r="B19" s="21" t="s">
        <v>362</v>
      </c>
      <c r="C19" s="21" t="s">
        <v>372</v>
      </c>
      <c r="D19" s="21" t="s">
        <v>373</v>
      </c>
      <c r="E19" s="21" t="s">
        <v>374</v>
      </c>
      <c r="F19" s="21" t="s">
        <v>304</v>
      </c>
      <c r="G19" s="21" t="s">
        <v>365</v>
      </c>
      <c r="H19" s="21" t="s">
        <v>31</v>
      </c>
      <c r="I19" s="21" t="s">
        <v>375</v>
      </c>
    </row>
    <row r="20" customFormat="false" ht="23.25" hidden="false" customHeight="true" outlineLevel="0" collapsed="false">
      <c r="A20" s="21" t="s">
        <v>376</v>
      </c>
      <c r="B20" s="21" t="s">
        <v>362</v>
      </c>
      <c r="C20" s="21" t="s">
        <v>377</v>
      </c>
      <c r="D20" s="21" t="s">
        <v>378</v>
      </c>
      <c r="E20" s="21" t="s">
        <v>379</v>
      </c>
      <c r="F20" s="21" t="s">
        <v>304</v>
      </c>
      <c r="G20" s="21" t="s">
        <v>380</v>
      </c>
      <c r="H20" s="21" t="s">
        <v>30</v>
      </c>
      <c r="I20" s="21" t="s">
        <v>381</v>
      </c>
    </row>
    <row r="21" customFormat="false" ht="34.5" hidden="false" customHeight="true" outlineLevel="0" collapsed="false">
      <c r="A21" s="21" t="s">
        <v>382</v>
      </c>
      <c r="B21" s="21" t="s">
        <v>362</v>
      </c>
      <c r="C21" s="21" t="s">
        <v>383</v>
      </c>
      <c r="D21" s="21" t="s">
        <v>384</v>
      </c>
      <c r="E21" s="21" t="s">
        <v>325</v>
      </c>
      <c r="F21" s="21" t="s">
        <v>333</v>
      </c>
      <c r="G21" s="21" t="s">
        <v>385</v>
      </c>
      <c r="H21" s="21" t="s">
        <v>30</v>
      </c>
      <c r="I21" s="21" t="s">
        <v>386</v>
      </c>
    </row>
    <row r="22" customFormat="false" ht="15" hidden="false" customHeight="true" outlineLevel="0" collapsed="false">
      <c r="A22" s="21" t="s">
        <v>387</v>
      </c>
      <c r="B22" s="21" t="s">
        <v>362</v>
      </c>
      <c r="C22" s="21" t="s">
        <v>388</v>
      </c>
      <c r="D22" s="21" t="s">
        <v>389</v>
      </c>
      <c r="E22" s="21" t="s">
        <v>344</v>
      </c>
      <c r="F22" s="21" t="s">
        <v>304</v>
      </c>
      <c r="G22" s="21" t="s">
        <v>390</v>
      </c>
      <c r="H22" s="21" t="s">
        <v>30</v>
      </c>
      <c r="I22" s="21" t="s">
        <v>391</v>
      </c>
    </row>
    <row r="23" customFormat="false" ht="15" hidden="false" customHeight="true" outlineLevel="0" collapsed="false">
      <c r="A23" s="21" t="s">
        <v>392</v>
      </c>
      <c r="B23" s="21" t="s">
        <v>362</v>
      </c>
      <c r="C23" s="21" t="s">
        <v>393</v>
      </c>
      <c r="D23" s="21" t="s">
        <v>394</v>
      </c>
      <c r="E23" s="21" t="s">
        <v>344</v>
      </c>
      <c r="F23" s="21" t="s">
        <v>320</v>
      </c>
      <c r="G23" s="21" t="s">
        <v>390</v>
      </c>
      <c r="H23" s="21" t="s">
        <v>30</v>
      </c>
      <c r="I23" s="21" t="s">
        <v>395</v>
      </c>
    </row>
    <row r="24" customFormat="false" ht="23.25" hidden="false" customHeight="true" outlineLevel="0" collapsed="false">
      <c r="A24" s="21" t="s">
        <v>396</v>
      </c>
      <c r="B24" s="21" t="s">
        <v>362</v>
      </c>
      <c r="C24" s="21" t="s">
        <v>397</v>
      </c>
      <c r="D24" s="21" t="s">
        <v>398</v>
      </c>
      <c r="E24" s="21" t="s">
        <v>379</v>
      </c>
      <c r="F24" s="21" t="s">
        <v>320</v>
      </c>
      <c r="G24" s="21" t="s">
        <v>160</v>
      </c>
      <c r="H24" s="21" t="s">
        <v>30</v>
      </c>
      <c r="I24" s="21"/>
    </row>
    <row r="25" customFormat="false" ht="23.25" hidden="false" customHeight="true" outlineLevel="0" collapsed="false">
      <c r="A25" s="21" t="s">
        <v>399</v>
      </c>
      <c r="B25" s="21" t="s">
        <v>362</v>
      </c>
      <c r="C25" s="21" t="s">
        <v>400</v>
      </c>
      <c r="D25" s="21" t="s">
        <v>401</v>
      </c>
      <c r="E25" s="21" t="s">
        <v>402</v>
      </c>
      <c r="F25" s="21" t="s">
        <v>304</v>
      </c>
      <c r="G25" s="21" t="s">
        <v>403</v>
      </c>
      <c r="H25" s="21" t="s">
        <v>31</v>
      </c>
      <c r="I25" s="21" t="s">
        <v>404</v>
      </c>
    </row>
    <row r="26" customFormat="false" ht="23.25" hidden="false" customHeight="true" outlineLevel="0" collapsed="false">
      <c r="A26" s="21" t="s">
        <v>405</v>
      </c>
      <c r="B26" s="21" t="s">
        <v>362</v>
      </c>
      <c r="C26" s="21" t="s">
        <v>406</v>
      </c>
      <c r="D26" s="21" t="s">
        <v>407</v>
      </c>
      <c r="E26" s="21" t="s">
        <v>325</v>
      </c>
      <c r="F26" s="21" t="s">
        <v>320</v>
      </c>
      <c r="G26" s="21" t="s">
        <v>408</v>
      </c>
      <c r="H26" s="21" t="s">
        <v>30</v>
      </c>
      <c r="I26" s="21" t="s">
        <v>409</v>
      </c>
    </row>
    <row r="27" customFormat="false" ht="23.25" hidden="false" customHeight="true" outlineLevel="0" collapsed="false">
      <c r="A27" s="21" t="s">
        <v>410</v>
      </c>
      <c r="B27" s="21" t="s">
        <v>362</v>
      </c>
      <c r="C27" s="21" t="s">
        <v>411</v>
      </c>
      <c r="D27" s="21" t="s">
        <v>412</v>
      </c>
      <c r="E27" s="21" t="s">
        <v>379</v>
      </c>
      <c r="F27" s="21" t="s">
        <v>320</v>
      </c>
      <c r="G27" s="21" t="s">
        <v>413</v>
      </c>
      <c r="H27" s="21" t="s">
        <v>30</v>
      </c>
      <c r="I27" s="21" t="s">
        <v>414</v>
      </c>
    </row>
    <row r="28" customFormat="false" ht="23.25" hidden="false" customHeight="true" outlineLevel="0" collapsed="false">
      <c r="A28" s="21" t="s">
        <v>415</v>
      </c>
      <c r="B28" s="21" t="s">
        <v>362</v>
      </c>
      <c r="C28" s="21" t="s">
        <v>416</v>
      </c>
      <c r="D28" s="21" t="s">
        <v>417</v>
      </c>
      <c r="E28" s="21" t="s">
        <v>418</v>
      </c>
      <c r="F28" s="21" t="s">
        <v>304</v>
      </c>
      <c r="G28" s="21" t="s">
        <v>419</v>
      </c>
      <c r="H28" s="21" t="s">
        <v>31</v>
      </c>
      <c r="I28" s="21" t="s">
        <v>420</v>
      </c>
    </row>
    <row r="29" customFormat="false" ht="23.25" hidden="false" customHeight="true" outlineLevel="0" collapsed="false">
      <c r="A29" s="21" t="s">
        <v>421</v>
      </c>
      <c r="B29" s="21" t="s">
        <v>362</v>
      </c>
      <c r="C29" s="21" t="s">
        <v>422</v>
      </c>
      <c r="D29" s="21" t="s">
        <v>423</v>
      </c>
      <c r="E29" s="21" t="s">
        <v>424</v>
      </c>
      <c r="F29" s="21" t="s">
        <v>320</v>
      </c>
      <c r="G29" s="21" t="s">
        <v>425</v>
      </c>
      <c r="H29" s="21" t="s">
        <v>31</v>
      </c>
      <c r="I29" s="21" t="s">
        <v>426</v>
      </c>
    </row>
    <row r="30" customFormat="false" ht="1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</row>
    <row r="31" customFormat="false" ht="1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</row>
    <row r="32" customFormat="false" ht="1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  <c r="I32" s="21"/>
    </row>
    <row r="33" customFormat="false" ht="1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</row>
    <row r="34" customFormat="false" ht="1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</row>
    <row r="35" customFormat="false" ht="1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</row>
    <row r="36" customFormat="false" ht="1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  <c r="I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</row>
    <row r="38" customFormat="false" ht="1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</row>
    <row r="39" customFormat="false" ht="1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</row>
    <row r="40" customFormat="false" ht="15" hidden="false" customHeight="true" outlineLevel="0" collapsed="false">
      <c r="A40" s="21"/>
      <c r="B40" s="21"/>
      <c r="C40" s="21"/>
      <c r="D40" s="21"/>
      <c r="E40" s="21"/>
      <c r="F40" s="21"/>
      <c r="G40" s="21"/>
      <c r="H40" s="21"/>
      <c r="I40" s="21"/>
    </row>
    <row r="41" customFormat="false" ht="1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</row>
    <row r="42" customFormat="false" ht="15" hidden="false" customHeight="true" outlineLevel="0" collapsed="false">
      <c r="A42" s="21"/>
      <c r="B42" s="21"/>
      <c r="C42" s="21"/>
      <c r="D42" s="21"/>
      <c r="E42" s="21"/>
      <c r="F42" s="21"/>
      <c r="G42" s="21"/>
      <c r="H42" s="21"/>
      <c r="I42" s="21"/>
    </row>
    <row r="43" customFormat="false" ht="1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</row>
    <row r="44" customFormat="false" ht="15" hidden="false" customHeight="true" outlineLevel="0" collapsed="false">
      <c r="A44" s="21"/>
      <c r="B44" s="21"/>
      <c r="C44" s="21"/>
      <c r="D44" s="21"/>
      <c r="E44" s="21"/>
      <c r="F44" s="21"/>
      <c r="G44" s="21"/>
      <c r="H44" s="21"/>
      <c r="I44" s="21"/>
    </row>
  </sheetData>
  <autoFilter ref="A1:I44"/>
  <conditionalFormatting sqref="A2:I44">
    <cfRule type="expression" priority="2" aboveAverage="0" equalAverage="0" bottom="0" percent="0" rank="0" text="" dxfId="6">
      <formula>$F2="TBC"</formula>
    </cfRule>
    <cfRule type="expression" priority="3" aboveAverage="0" equalAverage="0" bottom="0" percent="0" rank="0" text="" dxfId="5">
      <formula>$F2="TBD"</formula>
    </cfRule>
    <cfRule type="expression" priority="4" aboveAverage="0" equalAverage="0" bottom="0" percent="0" rank="0" text="" dxfId="7">
      <formula>$F2="Da riscrivere"</formula>
    </cfRule>
    <cfRule type="expression" priority="5" aboveAverage="0" equalAverage="0" bottom="0" percent="0" rank="0" text="" dxfId="8">
      <formula>$F2="Superato"</formula>
    </cfRule>
  </conditionalFormatting>
  <dataValidations count="3">
    <dataValidation allowBlank="true" error="Scegli un valore dalla lista" errorStyle="stop" operator="between" showDropDown="false" showErrorMessage="false" showInputMessage="false" sqref="B2:B44" type="list">
      <formula1>Liste!$H$2:$H$4</formula1>
      <formula2>0</formula2>
    </dataValidation>
    <dataValidation allowBlank="true" error="Scegli un valore dalla lista" errorStyle="stop" operator="between" showDropDown="false" showErrorMessage="false" showInputMessage="false" sqref="F2:F44" type="list">
      <formula1>Liste!$E$2:$E$6</formula1>
      <formula2>0</formula2>
    </dataValidation>
    <dataValidation allowBlank="true" error="Scegli un valore dalla lista" errorStyle="stop" operator="between" showDropDown="false" showErrorMessage="false" showInputMessage="false" sqref="H2:H44" type="list">
      <formula1>Liste!$B$2:$B$4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36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26"/>
  </cols>
  <sheetData>
    <row r="1" customFormat="false" ht="30" hidden="false" customHeight="true" outlineLevel="0" collapsed="false">
      <c r="A1" s="20" t="s">
        <v>42</v>
      </c>
      <c r="B1" s="20" t="s">
        <v>427</v>
      </c>
      <c r="C1" s="20" t="s">
        <v>428</v>
      </c>
      <c r="D1" s="20" t="s">
        <v>429</v>
      </c>
      <c r="E1" s="20" t="s">
        <v>430</v>
      </c>
      <c r="F1" s="20" t="s">
        <v>431</v>
      </c>
      <c r="G1" s="20" t="s">
        <v>432</v>
      </c>
      <c r="H1" s="20" t="s">
        <v>433</v>
      </c>
      <c r="I1" s="20" t="s">
        <v>434</v>
      </c>
      <c r="J1" s="20" t="s">
        <v>300</v>
      </c>
      <c r="K1" s="20" t="s">
        <v>29</v>
      </c>
      <c r="L1" s="20" t="s">
        <v>435</v>
      </c>
      <c r="M1" s="20" t="s">
        <v>55</v>
      </c>
    </row>
    <row r="2" customFormat="false" ht="23.25" hidden="false" customHeight="true" outlineLevel="0" collapsed="false">
      <c r="A2" s="21" t="s">
        <v>85</v>
      </c>
      <c r="B2" s="21" t="s">
        <v>436</v>
      </c>
      <c r="C2" s="21" t="s">
        <v>437</v>
      </c>
      <c r="D2" s="21" t="s">
        <v>438</v>
      </c>
      <c r="E2" s="21" t="s">
        <v>439</v>
      </c>
      <c r="F2" s="23" t="n">
        <f aca="false">IF(OR(D2="",E2=""),"",MATCH(D2,{"Bassa","Media","Alta"},0)*MATCH(E2,{"Bassa","Media","Alta"},0))</f>
        <v>6</v>
      </c>
      <c r="G2" s="21" t="s">
        <v>440</v>
      </c>
      <c r="H2" s="21" t="s">
        <v>441</v>
      </c>
      <c r="I2" s="21" t="s">
        <v>442</v>
      </c>
      <c r="J2" s="21" t="s">
        <v>31</v>
      </c>
      <c r="K2" s="21" t="s">
        <v>443</v>
      </c>
      <c r="L2" s="21" t="s">
        <v>57</v>
      </c>
      <c r="M2" s="21" t="s">
        <v>444</v>
      </c>
    </row>
    <row r="3" customFormat="false" ht="23.25" hidden="false" customHeight="true" outlineLevel="0" collapsed="false">
      <c r="A3" s="21" t="s">
        <v>133</v>
      </c>
      <c r="B3" s="21" t="s">
        <v>445</v>
      </c>
      <c r="C3" s="21" t="s">
        <v>446</v>
      </c>
      <c r="D3" s="21" t="s">
        <v>438</v>
      </c>
      <c r="E3" s="21" t="s">
        <v>439</v>
      </c>
      <c r="F3" s="23" t="n">
        <f aca="false">IF(OR(D3="",E3=""),"",MATCH(D3,{"Bassa","Media","Alta"},0)*MATCH(E3,{"Bassa","Media","Alta"},0))</f>
        <v>6</v>
      </c>
      <c r="G3" s="21" t="s">
        <v>447</v>
      </c>
      <c r="H3" s="21" t="s">
        <v>255</v>
      </c>
      <c r="I3" s="21" t="s">
        <v>448</v>
      </c>
      <c r="J3" s="21" t="s">
        <v>31</v>
      </c>
      <c r="K3" s="21" t="s">
        <v>443</v>
      </c>
      <c r="L3" s="21" t="s">
        <v>57</v>
      </c>
      <c r="M3" s="21" t="s">
        <v>449</v>
      </c>
    </row>
    <row r="4" customFormat="false" ht="23.25" hidden="false" customHeight="true" outlineLevel="0" collapsed="false">
      <c r="A4" s="21" t="s">
        <v>154</v>
      </c>
      <c r="B4" s="21" t="s">
        <v>450</v>
      </c>
      <c r="C4" s="21" t="s">
        <v>451</v>
      </c>
      <c r="D4" s="21" t="s">
        <v>439</v>
      </c>
      <c r="E4" s="21" t="s">
        <v>439</v>
      </c>
      <c r="F4" s="23" t="n">
        <f aca="false">IF(OR(D4="",E4=""),"",MATCH(D4,{"Bassa","Media","Alta"},0)*MATCH(E4,{"Bassa","Media","Alta"},0))</f>
        <v>9</v>
      </c>
      <c r="G4" s="21" t="s">
        <v>452</v>
      </c>
      <c r="H4" s="21" t="s">
        <v>152</v>
      </c>
      <c r="I4" s="21"/>
      <c r="J4" s="21" t="s">
        <v>31</v>
      </c>
      <c r="K4" s="21" t="s">
        <v>453</v>
      </c>
      <c r="L4" s="21" t="s">
        <v>57</v>
      </c>
      <c r="M4" s="21"/>
    </row>
    <row r="5" customFormat="false" ht="23.25" hidden="false" customHeight="true" outlineLevel="0" collapsed="false">
      <c r="A5" s="21" t="s">
        <v>454</v>
      </c>
      <c r="B5" s="21" t="s">
        <v>455</v>
      </c>
      <c r="C5" s="21" t="s">
        <v>456</v>
      </c>
      <c r="D5" s="21" t="s">
        <v>438</v>
      </c>
      <c r="E5" s="21" t="s">
        <v>439</v>
      </c>
      <c r="F5" s="23" t="n">
        <f aca="false">IF(OR(D5="",E5=""),"",MATCH(D5,{"Bassa","Media","Alta"},0)*MATCH(E5,{"Bassa","Media","Alta"},0))</f>
        <v>6</v>
      </c>
      <c r="G5" s="21" t="s">
        <v>457</v>
      </c>
      <c r="H5" s="21" t="s">
        <v>458</v>
      </c>
      <c r="I5" s="21" t="s">
        <v>459</v>
      </c>
      <c r="J5" s="21" t="s">
        <v>31</v>
      </c>
      <c r="K5" s="21" t="s">
        <v>453</v>
      </c>
      <c r="L5" s="21" t="s">
        <v>57</v>
      </c>
      <c r="M5" s="21"/>
    </row>
    <row r="6" customFormat="false" ht="15" hidden="false" customHeight="true" outlineLevel="0" collapsed="false">
      <c r="A6" s="21" t="s">
        <v>118</v>
      </c>
      <c r="B6" s="21" t="s">
        <v>460</v>
      </c>
      <c r="C6" s="21" t="s">
        <v>461</v>
      </c>
      <c r="D6" s="21" t="s">
        <v>438</v>
      </c>
      <c r="E6" s="21" t="s">
        <v>438</v>
      </c>
      <c r="F6" s="23" t="n">
        <f aca="false">IF(OR(D6="",E6=""),"",MATCH(D6,{"Bassa","Media","Alta"},0)*MATCH(E6,{"Bassa","Media","Alta"},0))</f>
        <v>4</v>
      </c>
      <c r="G6" s="21" t="s">
        <v>462</v>
      </c>
      <c r="H6" s="21" t="s">
        <v>458</v>
      </c>
      <c r="I6" s="21"/>
      <c r="J6" s="21" t="s">
        <v>32</v>
      </c>
      <c r="K6" s="21" t="s">
        <v>453</v>
      </c>
      <c r="L6" s="21" t="s">
        <v>57</v>
      </c>
      <c r="M6" s="21"/>
    </row>
    <row r="7" customFormat="false" ht="23.25" hidden="false" customHeight="true" outlineLevel="0" collapsed="false">
      <c r="A7" s="21" t="s">
        <v>102</v>
      </c>
      <c r="B7" s="21" t="s">
        <v>463</v>
      </c>
      <c r="C7" s="21" t="s">
        <v>464</v>
      </c>
      <c r="D7" s="21" t="s">
        <v>438</v>
      </c>
      <c r="E7" s="21" t="s">
        <v>438</v>
      </c>
      <c r="F7" s="23" t="n">
        <f aca="false">IF(OR(D7="",E7=""),"",MATCH(D7,{"Bassa","Media","Alta"},0)*MATCH(E7,{"Bassa","Media","Alta"},0))</f>
        <v>4</v>
      </c>
      <c r="G7" s="21" t="s">
        <v>465</v>
      </c>
      <c r="H7" s="21" t="s">
        <v>441</v>
      </c>
      <c r="I7" s="21" t="s">
        <v>466</v>
      </c>
      <c r="J7" s="21" t="s">
        <v>30</v>
      </c>
      <c r="K7" s="21" t="s">
        <v>453</v>
      </c>
      <c r="L7" s="21" t="s">
        <v>57</v>
      </c>
      <c r="M7" s="21" t="s">
        <v>467</v>
      </c>
    </row>
    <row r="8" customFormat="false" ht="23.25" hidden="false" customHeight="true" outlineLevel="0" collapsed="false">
      <c r="A8" s="21" t="s">
        <v>468</v>
      </c>
      <c r="B8" s="21" t="s">
        <v>469</v>
      </c>
      <c r="C8" s="21" t="s">
        <v>470</v>
      </c>
      <c r="D8" s="21" t="s">
        <v>438</v>
      </c>
      <c r="E8" s="21" t="s">
        <v>438</v>
      </c>
      <c r="F8" s="23" t="n">
        <f aca="false">IF(OR(D8="",E8=""),"",MATCH(D8,{"Bassa","Media","Alta"},0)*MATCH(E8,{"Bassa","Media","Alta"},0))</f>
        <v>4</v>
      </c>
      <c r="G8" s="21" t="s">
        <v>471</v>
      </c>
      <c r="H8" s="21" t="s">
        <v>441</v>
      </c>
      <c r="I8" s="21"/>
      <c r="J8" s="21" t="s">
        <v>32</v>
      </c>
      <c r="K8" s="21" t="s">
        <v>453</v>
      </c>
      <c r="L8" s="21" t="s">
        <v>57</v>
      </c>
      <c r="M8" s="21"/>
    </row>
    <row r="9" customFormat="false" ht="23.25" hidden="false" customHeight="true" outlineLevel="0" collapsed="false">
      <c r="A9" s="21" t="s">
        <v>93</v>
      </c>
      <c r="B9" s="21" t="s">
        <v>472</v>
      </c>
      <c r="C9" s="21" t="s">
        <v>473</v>
      </c>
      <c r="D9" s="21" t="s">
        <v>438</v>
      </c>
      <c r="E9" s="21" t="s">
        <v>438</v>
      </c>
      <c r="F9" s="23" t="n">
        <f aca="false">IF(OR(D9="",E9=""),"",MATCH(D9,{"Bassa","Media","Alta"},0)*MATCH(E9,{"Bassa","Media","Alta"},0))</f>
        <v>4</v>
      </c>
      <c r="G9" s="21" t="s">
        <v>474</v>
      </c>
      <c r="H9" s="21" t="s">
        <v>160</v>
      </c>
      <c r="I9" s="21"/>
      <c r="J9" s="21" t="s">
        <v>30</v>
      </c>
      <c r="K9" s="21" t="s">
        <v>443</v>
      </c>
      <c r="L9" s="21" t="s">
        <v>57</v>
      </c>
      <c r="M9" s="21" t="s">
        <v>475</v>
      </c>
    </row>
    <row r="10" customFormat="false" ht="23.25" hidden="false" customHeight="true" outlineLevel="0" collapsed="false">
      <c r="A10" s="21" t="s">
        <v>476</v>
      </c>
      <c r="B10" s="21" t="s">
        <v>477</v>
      </c>
      <c r="C10" s="21" t="s">
        <v>478</v>
      </c>
      <c r="D10" s="21" t="s">
        <v>479</v>
      </c>
      <c r="E10" s="21" t="s">
        <v>438</v>
      </c>
      <c r="F10" s="23" t="n">
        <f aca="false">IF(OR(D10="",E10=""),"",MATCH(D10,{"Bassa","Media","Alta"},0)*MATCH(E10,{"Bassa","Media","Alta"},0))</f>
        <v>2</v>
      </c>
      <c r="G10" s="21" t="s">
        <v>480</v>
      </c>
      <c r="H10" s="21" t="s">
        <v>441</v>
      </c>
      <c r="I10" s="21"/>
      <c r="J10" s="21" t="s">
        <v>31</v>
      </c>
      <c r="K10" s="21" t="s">
        <v>453</v>
      </c>
      <c r="L10" s="21" t="s">
        <v>57</v>
      </c>
      <c r="M10" s="21"/>
    </row>
    <row r="11" customFormat="false" ht="15" hidden="false" customHeight="true" outlineLevel="0" collapsed="false">
      <c r="A11" s="21" t="s">
        <v>161</v>
      </c>
      <c r="B11" s="21" t="s">
        <v>481</v>
      </c>
      <c r="C11" s="21" t="s">
        <v>482</v>
      </c>
      <c r="D11" s="21" t="s">
        <v>439</v>
      </c>
      <c r="E11" s="21" t="s">
        <v>439</v>
      </c>
      <c r="F11" s="23" t="n">
        <f aca="false">IF(OR(D11="",E11=""),"",MATCH(D11,{"Bassa","Media","Alta"},0)*MATCH(E11,{"Bassa","Media","Alta"},0))</f>
        <v>9</v>
      </c>
      <c r="G11" s="21" t="s">
        <v>483</v>
      </c>
      <c r="H11" s="21" t="s">
        <v>160</v>
      </c>
      <c r="I11" s="21"/>
      <c r="J11" s="21" t="s">
        <v>30</v>
      </c>
      <c r="K11" s="21" t="s">
        <v>484</v>
      </c>
      <c r="L11" s="21" t="s">
        <v>57</v>
      </c>
      <c r="M11" s="21" t="s">
        <v>485</v>
      </c>
    </row>
    <row r="12" customFormat="false" ht="23.25" hidden="false" customHeight="true" outlineLevel="0" collapsed="false">
      <c r="A12" s="21" t="s">
        <v>191</v>
      </c>
      <c r="B12" s="21" t="s">
        <v>486</v>
      </c>
      <c r="C12" s="21" t="s">
        <v>487</v>
      </c>
      <c r="D12" s="21"/>
      <c r="E12" s="21" t="s">
        <v>439</v>
      </c>
      <c r="F12" s="23" t="str">
        <f aca="false">IF(OR(D12="",E12=""),"",MATCH(D12,{"Bassa","Media","Alta"},0)*MATCH(E12,{"Bassa","Media","Alta"},0))</f>
        <v/>
      </c>
      <c r="G12" s="21" t="s">
        <v>488</v>
      </c>
      <c r="H12" s="21" t="s">
        <v>489</v>
      </c>
      <c r="I12" s="21"/>
      <c r="J12" s="21" t="s">
        <v>30</v>
      </c>
      <c r="K12" s="21" t="s">
        <v>453</v>
      </c>
      <c r="L12" s="21" t="s">
        <v>184</v>
      </c>
      <c r="M12" s="21" t="s">
        <v>490</v>
      </c>
    </row>
    <row r="13" customFormat="false" ht="23.25" hidden="false" customHeight="true" outlineLevel="0" collapsed="false">
      <c r="A13" s="21" t="s">
        <v>206</v>
      </c>
      <c r="B13" s="21" t="s">
        <v>491</v>
      </c>
      <c r="C13" s="21" t="s">
        <v>492</v>
      </c>
      <c r="D13" s="21"/>
      <c r="E13" s="21" t="s">
        <v>438</v>
      </c>
      <c r="F13" s="23" t="str">
        <f aca="false">IF(OR(D13="",E13=""),"",MATCH(D13,{"Bassa","Media","Alta"},0)*MATCH(E13,{"Bassa","Media","Alta"},0))</f>
        <v/>
      </c>
      <c r="G13" s="21" t="s">
        <v>493</v>
      </c>
      <c r="H13" s="21" t="s">
        <v>441</v>
      </c>
      <c r="I13" s="21"/>
      <c r="J13" s="21" t="s">
        <v>30</v>
      </c>
      <c r="K13" s="21" t="s">
        <v>453</v>
      </c>
      <c r="L13" s="21" t="s">
        <v>184</v>
      </c>
      <c r="M13" s="21" t="s">
        <v>490</v>
      </c>
    </row>
    <row r="14" customFormat="false" ht="15" hidden="false" customHeight="true" outlineLevel="0" collapsed="false">
      <c r="A14" s="21" t="s">
        <v>494</v>
      </c>
      <c r="B14" s="21" t="s">
        <v>495</v>
      </c>
      <c r="C14" s="21" t="s">
        <v>496</v>
      </c>
      <c r="D14" s="21"/>
      <c r="E14" s="21" t="s">
        <v>438</v>
      </c>
      <c r="F14" s="23" t="str">
        <f aca="false">IF(OR(D14="",E14=""),"",MATCH(D14,{"Bassa","Media","Alta"},0)*MATCH(E14,{"Bassa","Media","Alta"},0))</f>
        <v/>
      </c>
      <c r="G14" s="21" t="s">
        <v>497</v>
      </c>
      <c r="H14" s="21" t="s">
        <v>441</v>
      </c>
      <c r="I14" s="21"/>
      <c r="J14" s="21" t="s">
        <v>30</v>
      </c>
      <c r="K14" s="21" t="s">
        <v>453</v>
      </c>
      <c r="L14" s="21" t="s">
        <v>184</v>
      </c>
      <c r="M14" s="21" t="s">
        <v>490</v>
      </c>
    </row>
    <row r="15" customFormat="false" ht="23.25" hidden="false" customHeight="true" outlineLevel="0" collapsed="false">
      <c r="A15" s="21" t="s">
        <v>498</v>
      </c>
      <c r="B15" s="21" t="s">
        <v>499</v>
      </c>
      <c r="C15" s="21" t="s">
        <v>500</v>
      </c>
      <c r="D15" s="21"/>
      <c r="E15" s="21" t="s">
        <v>438</v>
      </c>
      <c r="F15" s="23" t="str">
        <f aca="false">IF(OR(D15="",E15=""),"",MATCH(D15,{"Bassa","Media","Alta"},0)*MATCH(E15,{"Bassa","Media","Alta"},0))</f>
        <v/>
      </c>
      <c r="G15" s="21" t="s">
        <v>501</v>
      </c>
      <c r="H15" s="21" t="s">
        <v>441</v>
      </c>
      <c r="I15" s="21"/>
      <c r="J15" s="21" t="s">
        <v>30</v>
      </c>
      <c r="K15" s="21" t="s">
        <v>453</v>
      </c>
      <c r="L15" s="21" t="s">
        <v>184</v>
      </c>
      <c r="M15" s="21" t="s">
        <v>490</v>
      </c>
    </row>
    <row r="16" customFormat="false" ht="23.25" hidden="false" customHeight="true" outlineLevel="0" collapsed="false">
      <c r="A16" s="21" t="s">
        <v>240</v>
      </c>
      <c r="B16" s="21" t="s">
        <v>502</v>
      </c>
      <c r="C16" s="21" t="s">
        <v>503</v>
      </c>
      <c r="D16" s="21"/>
      <c r="E16" s="21" t="s">
        <v>438</v>
      </c>
      <c r="F16" s="23" t="str">
        <f aca="false">IF(OR(D16="",E16=""),"",MATCH(D16,{"Bassa","Media","Alta"},0)*MATCH(E16,{"Bassa","Media","Alta"},0))</f>
        <v/>
      </c>
      <c r="G16" s="21" t="s">
        <v>504</v>
      </c>
      <c r="H16" s="21" t="s">
        <v>441</v>
      </c>
      <c r="I16" s="21"/>
      <c r="J16" s="21" t="s">
        <v>30</v>
      </c>
      <c r="K16" s="21" t="s">
        <v>453</v>
      </c>
      <c r="L16" s="21" t="s">
        <v>226</v>
      </c>
      <c r="M16" s="21" t="s">
        <v>490</v>
      </c>
    </row>
    <row r="17" customFormat="false" ht="15" hidden="false" customHeight="true" outlineLevel="0" collapsed="false">
      <c r="A17" s="21" t="s">
        <v>505</v>
      </c>
      <c r="B17" s="21" t="s">
        <v>506</v>
      </c>
      <c r="C17" s="21" t="s">
        <v>507</v>
      </c>
      <c r="D17" s="21"/>
      <c r="E17" s="21" t="s">
        <v>438</v>
      </c>
      <c r="F17" s="23" t="str">
        <f aca="false">IF(OR(D17="",E17=""),"",MATCH(D17,{"Bassa","Media","Alta"},0)*MATCH(E17,{"Bassa","Media","Alta"},0))</f>
        <v/>
      </c>
      <c r="G17" s="21" t="s">
        <v>508</v>
      </c>
      <c r="H17" s="21" t="s">
        <v>152</v>
      </c>
      <c r="I17" s="21"/>
      <c r="J17" s="21" t="s">
        <v>31</v>
      </c>
      <c r="K17" s="21" t="s">
        <v>453</v>
      </c>
      <c r="L17" s="21" t="s">
        <v>226</v>
      </c>
      <c r="M17" s="21" t="s">
        <v>509</v>
      </c>
    </row>
    <row r="18" customFormat="false" ht="23.25" hidden="false" customHeight="true" outlineLevel="0" collapsed="false">
      <c r="A18" s="21" t="s">
        <v>510</v>
      </c>
      <c r="B18" s="21" t="s">
        <v>511</v>
      </c>
      <c r="C18" s="21" t="s">
        <v>512</v>
      </c>
      <c r="D18" s="21"/>
      <c r="E18" s="21" t="s">
        <v>439</v>
      </c>
      <c r="F18" s="23" t="str">
        <f aca="false">IF(OR(D18="",E18=""),"",MATCH(D18,{"Bassa","Media","Alta"},0)*MATCH(E18,{"Bassa","Media","Alta"},0))</f>
        <v/>
      </c>
      <c r="G18" s="21" t="s">
        <v>513</v>
      </c>
      <c r="H18" s="21" t="s">
        <v>441</v>
      </c>
      <c r="I18" s="21"/>
      <c r="J18" s="21" t="s">
        <v>31</v>
      </c>
      <c r="K18" s="21" t="s">
        <v>453</v>
      </c>
      <c r="L18" s="21" t="s">
        <v>226</v>
      </c>
      <c r="M18" s="21" t="s">
        <v>490</v>
      </c>
    </row>
    <row r="19" customFormat="false" ht="23.25" hidden="false" customHeight="true" outlineLevel="0" collapsed="false">
      <c r="A19" s="21" t="s">
        <v>232</v>
      </c>
      <c r="B19" s="21" t="s">
        <v>514</v>
      </c>
      <c r="C19" s="21" t="s">
        <v>515</v>
      </c>
      <c r="D19" s="21" t="s">
        <v>479</v>
      </c>
      <c r="E19" s="21" t="s">
        <v>479</v>
      </c>
      <c r="F19" s="23" t="n">
        <f aca="false">IF(OR(D19="",E19=""),"",MATCH(D19,{"Bassa","Media","Alta"},0)*MATCH(E19,{"Bassa","Media","Alta"},0))</f>
        <v>1</v>
      </c>
      <c r="G19" s="21" t="s">
        <v>516</v>
      </c>
      <c r="H19" s="21" t="s">
        <v>226</v>
      </c>
      <c r="I19" s="21"/>
      <c r="J19" s="21" t="s">
        <v>31</v>
      </c>
      <c r="K19" s="21" t="s">
        <v>517</v>
      </c>
      <c r="L19" s="21" t="s">
        <v>226</v>
      </c>
      <c r="M19" s="21"/>
    </row>
    <row r="20" customFormat="false" ht="23.25" hidden="false" customHeight="true" outlineLevel="0" collapsed="false">
      <c r="A20" s="21" t="s">
        <v>518</v>
      </c>
      <c r="B20" s="21" t="s">
        <v>519</v>
      </c>
      <c r="C20" s="21" t="s">
        <v>520</v>
      </c>
      <c r="D20" s="21"/>
      <c r="E20" s="21" t="s">
        <v>438</v>
      </c>
      <c r="F20" s="23" t="str">
        <f aca="false">IF(OR(D20="",E20=""),"",MATCH(D20,{"Bassa","Media","Alta"},0)*MATCH(E20,{"Bassa","Media","Alta"},0))</f>
        <v/>
      </c>
      <c r="G20" s="21" t="s">
        <v>521</v>
      </c>
      <c r="H20" s="21" t="s">
        <v>458</v>
      </c>
      <c r="I20" s="21"/>
      <c r="J20" s="21" t="s">
        <v>31</v>
      </c>
      <c r="K20" s="21" t="s">
        <v>453</v>
      </c>
      <c r="L20" s="21" t="s">
        <v>255</v>
      </c>
      <c r="M20" s="21" t="s">
        <v>490</v>
      </c>
    </row>
    <row r="21" customFormat="false" ht="23.25" hidden="false" customHeight="true" outlineLevel="0" collapsed="false">
      <c r="A21" s="21" t="s">
        <v>522</v>
      </c>
      <c r="B21" s="21" t="s">
        <v>523</v>
      </c>
      <c r="C21" s="21" t="s">
        <v>524</v>
      </c>
      <c r="D21" s="21"/>
      <c r="E21" s="21" t="s">
        <v>438</v>
      </c>
      <c r="F21" s="23" t="str">
        <f aca="false">IF(OR(D21="",E21=""),"",MATCH(D21,{"Bassa","Media","Alta"},0)*MATCH(E21,{"Bassa","Media","Alta"},0))</f>
        <v/>
      </c>
      <c r="G21" s="21" t="s">
        <v>525</v>
      </c>
      <c r="H21" s="21" t="s">
        <v>458</v>
      </c>
      <c r="I21" s="21"/>
      <c r="J21" s="21" t="s">
        <v>31</v>
      </c>
      <c r="K21" s="21" t="s">
        <v>453</v>
      </c>
      <c r="L21" s="21" t="s">
        <v>255</v>
      </c>
      <c r="M21" s="21" t="s">
        <v>490</v>
      </c>
    </row>
    <row r="22" customFormat="false" ht="23.25" hidden="false" customHeight="true" outlineLevel="0" collapsed="false">
      <c r="A22" s="21" t="s">
        <v>526</v>
      </c>
      <c r="B22" s="21" t="s">
        <v>527</v>
      </c>
      <c r="C22" s="21" t="s">
        <v>528</v>
      </c>
      <c r="D22" s="21"/>
      <c r="E22" s="21" t="s">
        <v>438</v>
      </c>
      <c r="F22" s="23" t="str">
        <f aca="false">IF(OR(D22="",E22=""),"",MATCH(D22,{"Bassa","Media","Alta"},0)*MATCH(E22,{"Bassa","Media","Alta"},0))</f>
        <v/>
      </c>
      <c r="G22" s="21" t="s">
        <v>529</v>
      </c>
      <c r="H22" s="21" t="s">
        <v>441</v>
      </c>
      <c r="I22" s="21"/>
      <c r="J22" s="21" t="s">
        <v>32</v>
      </c>
      <c r="K22" s="21" t="s">
        <v>453</v>
      </c>
      <c r="L22" s="21" t="s">
        <v>255</v>
      </c>
      <c r="M22" s="21" t="s">
        <v>530</v>
      </c>
    </row>
    <row r="23" customFormat="false" ht="23.25" hidden="false" customHeight="true" outlineLevel="0" collapsed="false">
      <c r="A23" s="21" t="s">
        <v>293</v>
      </c>
      <c r="B23" s="21" t="s">
        <v>531</v>
      </c>
      <c r="C23" s="21" t="s">
        <v>532</v>
      </c>
      <c r="D23" s="21"/>
      <c r="E23" s="21" t="s">
        <v>438</v>
      </c>
      <c r="F23" s="23" t="str">
        <f aca="false">IF(OR(D23="",E23=""),"",MATCH(D23,{"Bassa","Media","Alta"},0)*MATCH(E23,{"Bassa","Media","Alta"},0))</f>
        <v/>
      </c>
      <c r="G23" s="21" t="s">
        <v>533</v>
      </c>
      <c r="H23" s="21" t="s">
        <v>441</v>
      </c>
      <c r="I23" s="21"/>
      <c r="J23" s="21" t="s">
        <v>31</v>
      </c>
      <c r="K23" s="21" t="s">
        <v>453</v>
      </c>
      <c r="L23" s="21" t="s">
        <v>255</v>
      </c>
      <c r="M23" s="21" t="s">
        <v>490</v>
      </c>
    </row>
    <row r="24" customFormat="false" ht="15" hidden="false" customHeight="true" outlineLevel="0" collapsed="false">
      <c r="A24" s="21"/>
      <c r="B24" s="21"/>
      <c r="C24" s="21"/>
      <c r="D24" s="21"/>
      <c r="E24" s="21"/>
      <c r="F24" s="23" t="str">
        <f aca="false">IF(OR(D24="",E24=""),"",MATCH(D24,{"Bassa","Media","Alta"},0)*MATCH(E24,{"Bassa","Media","Alta"},0))</f>
        <v/>
      </c>
      <c r="G24" s="21"/>
      <c r="H24" s="21"/>
      <c r="I24" s="21"/>
      <c r="J24" s="21"/>
      <c r="K24" s="21"/>
      <c r="L24" s="21"/>
      <c r="M24" s="21"/>
    </row>
    <row r="25" customFormat="false" ht="15" hidden="false" customHeight="true" outlineLevel="0" collapsed="false">
      <c r="A25" s="21"/>
      <c r="B25" s="21"/>
      <c r="C25" s="21"/>
      <c r="D25" s="21"/>
      <c r="E25" s="21"/>
      <c r="F25" s="23" t="str">
        <f aca="false">IF(OR(D25="",E25=""),"",MATCH(D25,{"Bassa","Media","Alta"},0)*MATCH(E25,{"Bassa","Media","Alta"},0))</f>
        <v/>
      </c>
      <c r="G25" s="21"/>
      <c r="H25" s="21"/>
      <c r="I25" s="21"/>
      <c r="J25" s="21"/>
      <c r="K25" s="21"/>
      <c r="L25" s="21"/>
      <c r="M25" s="21"/>
    </row>
    <row r="26" customFormat="false" ht="15" hidden="false" customHeight="true" outlineLevel="0" collapsed="false">
      <c r="A26" s="21"/>
      <c r="B26" s="21"/>
      <c r="C26" s="21"/>
      <c r="D26" s="21"/>
      <c r="E26" s="21"/>
      <c r="F26" s="23" t="str">
        <f aca="false">IF(OR(D26="",E26=""),"",MATCH(D26,{"Bassa","Media","Alta"},0)*MATCH(E26,{"Bassa","Media","Alta"},0))</f>
        <v/>
      </c>
      <c r="G26" s="21"/>
      <c r="H26" s="21"/>
      <c r="I26" s="21"/>
      <c r="J26" s="21"/>
      <c r="K26" s="21"/>
      <c r="L26" s="21"/>
      <c r="M26" s="21"/>
    </row>
    <row r="27" customFormat="false" ht="15" hidden="false" customHeight="true" outlineLevel="0" collapsed="false">
      <c r="A27" s="21"/>
      <c r="B27" s="21"/>
      <c r="C27" s="21"/>
      <c r="D27" s="21"/>
      <c r="E27" s="21"/>
      <c r="F27" s="23" t="str">
        <f aca="false">IF(OR(D27="",E27=""),"",MATCH(D27,{"Bassa","Media","Alta"},0)*MATCH(E27,{"Bassa","Media","Alta"},0))</f>
        <v/>
      </c>
      <c r="G27" s="21"/>
      <c r="H27" s="21"/>
      <c r="I27" s="21"/>
      <c r="J27" s="21"/>
      <c r="K27" s="21"/>
      <c r="L27" s="21"/>
      <c r="M27" s="21"/>
    </row>
    <row r="28" customFormat="false" ht="15" hidden="false" customHeight="true" outlineLevel="0" collapsed="false">
      <c r="A28" s="21"/>
      <c r="B28" s="21"/>
      <c r="C28" s="21"/>
      <c r="D28" s="21"/>
      <c r="E28" s="21"/>
      <c r="F28" s="23" t="str">
        <f aca="false">IF(OR(D28="",E28=""),"",MATCH(D28,{"Bassa","Media","Alta"},0)*MATCH(E28,{"Bassa","Media","Alta"},0))</f>
        <v/>
      </c>
      <c r="G28" s="21"/>
      <c r="H28" s="21"/>
      <c r="I28" s="21"/>
      <c r="J28" s="21"/>
      <c r="K28" s="21"/>
      <c r="L28" s="21"/>
      <c r="M28" s="21"/>
    </row>
    <row r="29" customFormat="false" ht="15" hidden="false" customHeight="true" outlineLevel="0" collapsed="false">
      <c r="A29" s="21"/>
      <c r="B29" s="21"/>
      <c r="C29" s="21"/>
      <c r="D29" s="21"/>
      <c r="E29" s="21"/>
      <c r="F29" s="23" t="str">
        <f aca="false">IF(OR(D29="",E29=""),"",MATCH(D29,{"Bassa","Media","Alta"},0)*MATCH(E29,{"Bassa","Media","Alta"},0))</f>
        <v/>
      </c>
      <c r="G29" s="21"/>
      <c r="H29" s="21"/>
      <c r="I29" s="21"/>
      <c r="J29" s="21"/>
      <c r="K29" s="21"/>
      <c r="L29" s="21"/>
      <c r="M29" s="21"/>
    </row>
    <row r="30" customFormat="false" ht="15" hidden="false" customHeight="true" outlineLevel="0" collapsed="false">
      <c r="A30" s="21"/>
      <c r="B30" s="21"/>
      <c r="C30" s="21"/>
      <c r="D30" s="21"/>
      <c r="E30" s="21"/>
      <c r="F30" s="23" t="str">
        <f aca="false">IF(OR(D30="",E30=""),"",MATCH(D30,{"Bassa","Media","Alta"},0)*MATCH(E30,{"Bassa","Media","Alta"},0))</f>
        <v/>
      </c>
      <c r="G30" s="21"/>
      <c r="H30" s="21"/>
      <c r="I30" s="21"/>
      <c r="J30" s="21"/>
      <c r="K30" s="21"/>
      <c r="L30" s="21"/>
      <c r="M30" s="21"/>
    </row>
    <row r="31" customFormat="false" ht="15" hidden="false" customHeight="true" outlineLevel="0" collapsed="false">
      <c r="A31" s="21"/>
      <c r="B31" s="21"/>
      <c r="C31" s="21"/>
      <c r="D31" s="21"/>
      <c r="E31" s="21"/>
      <c r="F31" s="23" t="str">
        <f aca="false">IF(OR(D31="",E31=""),"",MATCH(D31,{"Bassa","Media","Alta"},0)*MATCH(E31,{"Bassa","Media","Alta"},0))</f>
        <v/>
      </c>
      <c r="G31" s="21"/>
      <c r="H31" s="21"/>
      <c r="I31" s="21"/>
      <c r="J31" s="21"/>
      <c r="K31" s="21"/>
      <c r="L31" s="21"/>
      <c r="M31" s="21"/>
    </row>
    <row r="32" customFormat="false" ht="15" hidden="false" customHeight="true" outlineLevel="0" collapsed="false">
      <c r="A32" s="21"/>
      <c r="B32" s="21"/>
      <c r="C32" s="21"/>
      <c r="D32" s="21"/>
      <c r="E32" s="21"/>
      <c r="F32" s="23" t="str">
        <f aca="false">IF(OR(D32="",E32=""),"",MATCH(D32,{"Bassa","Media","Alta"},0)*MATCH(E32,{"Bassa","Media","Alta"},0))</f>
        <v/>
      </c>
      <c r="G32" s="21"/>
      <c r="H32" s="21"/>
      <c r="I32" s="21"/>
      <c r="J32" s="21"/>
      <c r="K32" s="21"/>
      <c r="L32" s="21"/>
      <c r="M32" s="21"/>
    </row>
    <row r="33" customFormat="false" ht="15" hidden="false" customHeight="true" outlineLevel="0" collapsed="false">
      <c r="A33" s="21"/>
      <c r="B33" s="21"/>
      <c r="C33" s="21"/>
      <c r="D33" s="21"/>
      <c r="E33" s="21"/>
      <c r="F33" s="23" t="str">
        <f aca="false">IF(OR(D33="",E33=""),"",MATCH(D33,{"Bassa","Media","Alta"},0)*MATCH(E33,{"Bassa","Media","Alta"},0))</f>
        <v/>
      </c>
      <c r="G33" s="21"/>
      <c r="H33" s="21"/>
      <c r="I33" s="21"/>
      <c r="J33" s="21"/>
      <c r="K33" s="21"/>
      <c r="L33" s="21"/>
      <c r="M33" s="21"/>
    </row>
    <row r="34" customFormat="false" ht="15" hidden="false" customHeight="true" outlineLevel="0" collapsed="false">
      <c r="A34" s="21"/>
      <c r="B34" s="21"/>
      <c r="C34" s="21"/>
      <c r="D34" s="21"/>
      <c r="E34" s="21"/>
      <c r="F34" s="23" t="str">
        <f aca="false">IF(OR(D34="",E34=""),"",MATCH(D34,{"Bassa","Media","Alta"},0)*MATCH(E34,{"Bassa","Media","Alta"},0))</f>
        <v/>
      </c>
      <c r="G34" s="21"/>
      <c r="H34" s="21"/>
      <c r="I34" s="21"/>
      <c r="J34" s="21"/>
      <c r="K34" s="21"/>
      <c r="L34" s="21"/>
      <c r="M34" s="21"/>
    </row>
    <row r="35" customFormat="false" ht="15" hidden="false" customHeight="true" outlineLevel="0" collapsed="false">
      <c r="A35" s="21"/>
      <c r="B35" s="21"/>
      <c r="C35" s="21"/>
      <c r="D35" s="21"/>
      <c r="E35" s="21"/>
      <c r="F35" s="23" t="str">
        <f aca="false">IF(OR(D35="",E35=""),"",MATCH(D35,{"Bassa","Media","Alta"},0)*MATCH(E35,{"Bassa","Media","Alta"},0))</f>
        <v/>
      </c>
      <c r="G35" s="21"/>
      <c r="H35" s="21"/>
      <c r="I35" s="21"/>
      <c r="J35" s="21"/>
      <c r="K35" s="21"/>
      <c r="L35" s="21"/>
      <c r="M35" s="21"/>
    </row>
    <row r="36" customFormat="false" ht="15" hidden="false" customHeight="true" outlineLevel="0" collapsed="false">
      <c r="A36" s="21"/>
      <c r="B36" s="21"/>
      <c r="C36" s="21"/>
      <c r="D36" s="21"/>
      <c r="E36" s="21"/>
      <c r="F36" s="23" t="str">
        <f aca="false">IF(OR(D36="",E36=""),"",MATCH(D36,{"Bassa","Media","Alta"},0)*MATCH(E36,{"Bassa","Media","Alta"},0))</f>
        <v/>
      </c>
      <c r="G36" s="21"/>
      <c r="H36" s="21"/>
      <c r="I36" s="21"/>
      <c r="J36" s="21"/>
      <c r="K36" s="21"/>
      <c r="L36" s="21"/>
      <c r="M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3" t="str">
        <f aca="false">IF(OR(D37="",E37=""),"",MATCH(D37,{"Bassa","Media","Alta"},0)*MATCH(E37,{"Bassa","Media","Alta"},0))</f>
        <v/>
      </c>
      <c r="G37" s="21"/>
      <c r="H37" s="21"/>
      <c r="I37" s="21"/>
      <c r="J37" s="21"/>
      <c r="K37" s="21"/>
      <c r="L37" s="21"/>
      <c r="M37" s="21"/>
    </row>
    <row r="38" customFormat="false" ht="15" hidden="false" customHeight="true" outlineLevel="0" collapsed="false">
      <c r="A38" s="21"/>
      <c r="B38" s="21"/>
      <c r="C38" s="21"/>
      <c r="D38" s="21"/>
      <c r="E38" s="21"/>
      <c r="F38" s="23" t="str">
        <f aca="false">IF(OR(D38="",E38=""),"",MATCH(D38,{"Bassa","Media","Alta"},0)*MATCH(E38,{"Bassa","Media","Alta"},0))</f>
        <v/>
      </c>
      <c r="G38" s="21"/>
      <c r="H38" s="21"/>
      <c r="I38" s="21"/>
      <c r="J38" s="21"/>
      <c r="K38" s="21"/>
      <c r="L38" s="21"/>
      <c r="M38" s="21"/>
    </row>
    <row r="39" customFormat="false" ht="15" hidden="false" customHeight="true" outlineLevel="0" collapsed="false">
      <c r="A39" s="21"/>
      <c r="B39" s="21"/>
      <c r="C39" s="21"/>
      <c r="D39" s="21"/>
      <c r="E39" s="21"/>
      <c r="F39" s="23" t="str">
        <f aca="false">IF(OR(D39="",E39=""),"",MATCH(D39,{"Bassa","Media","Alta"},0)*MATCH(E39,{"Bassa","Media","Alta"},0))</f>
        <v/>
      </c>
      <c r="G39" s="21"/>
      <c r="H39" s="21"/>
      <c r="I39" s="21"/>
      <c r="J39" s="21"/>
      <c r="K39" s="21"/>
      <c r="L39" s="21"/>
      <c r="M39" s="21"/>
    </row>
  </sheetData>
  <autoFilter ref="A1:M39"/>
  <conditionalFormatting sqref="F2:F39">
    <cfRule type="expression" priority="2" aboveAverage="0" equalAverage="0" bottom="0" percent="0" rank="0" text="" dxfId="13">
      <formula>AND(ISNUMBER(F2),F2&gt;=6)</formula>
    </cfRule>
    <cfRule type="expression" priority="3" aboveAverage="0" equalAverage="0" bottom="0" percent="0" rank="0" text="" dxfId="14">
      <formula>AND(ISNUMBER(F2),F2&gt;=3,F2&lt;6)</formula>
    </cfRule>
    <cfRule type="expression" priority="4" aboveAverage="0" equalAverage="0" bottom="0" percent="0" rank="0" text="" dxfId="15">
      <formula>AND(ISNUMBER(F2),F2&lt;3)</formula>
    </cfRule>
  </conditionalFormatting>
  <conditionalFormatting sqref="A2:E39">
    <cfRule type="expression" priority="5" aboveAverage="0" equalAverage="0" bottom="0" percent="0" rank="0" text="" dxfId="8">
      <formula>$K2="Chiuso"</formula>
    </cfRule>
  </conditionalFormatting>
  <dataValidations count="4">
    <dataValidation allowBlank="true" error="Scegli un valore dalla lista" errorStyle="stop" operator="between" showDropDown="false" showErrorMessage="false" showInputMessage="false" sqref="D2:D39" type="list">
      <formula1>Liste!$F$2:$F$4</formula1>
      <formula2>0</formula2>
    </dataValidation>
    <dataValidation allowBlank="true" error="Scegli un valore dalla lista" errorStyle="stop" operator="between" showDropDown="false" showErrorMessage="false" showInputMessage="false" sqref="E2:E39" type="list">
      <formula1>Liste!$F$2:$F$4</formula1>
      <formula2>0</formula2>
    </dataValidation>
    <dataValidation allowBlank="true" error="Scegli un valore dalla lista" errorStyle="stop" operator="between" showDropDown="false" showErrorMessage="false" showInputMessage="false" sqref="J2:J39" type="list">
      <formula1>Liste!$B$2:$B$4</formula1>
      <formula2>0</formula2>
    </dataValidation>
    <dataValidation allowBlank="true" error="Scegli un valore dalla lista" errorStyle="stop" operator="between" showDropDown="false" showErrorMessage="false" showInputMessage="false" sqref="K2:K39" type="list">
      <formula1>Liste!$G$2:$G$5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15" hidden="false" customHeight="true" outlineLevel="0" collapsed="false">
      <c r="A1" s="24" t="s">
        <v>534</v>
      </c>
      <c r="B1" s="24" t="s">
        <v>45</v>
      </c>
      <c r="C1" s="24" t="s">
        <v>46</v>
      </c>
      <c r="D1" s="24" t="s">
        <v>535</v>
      </c>
      <c r="E1" s="24" t="s">
        <v>536</v>
      </c>
      <c r="F1" s="24" t="s">
        <v>537</v>
      </c>
      <c r="G1" s="24" t="s">
        <v>538</v>
      </c>
      <c r="H1" s="24" t="s">
        <v>539</v>
      </c>
    </row>
    <row r="2" customFormat="false" ht="15" hidden="false" customHeight="true" outlineLevel="0" collapsed="false">
      <c r="A2" s="18" t="s">
        <v>18</v>
      </c>
      <c r="B2" s="18" t="s">
        <v>30</v>
      </c>
      <c r="C2" s="18" t="s">
        <v>58</v>
      </c>
      <c r="D2" s="18" t="s">
        <v>57</v>
      </c>
      <c r="E2" s="18" t="s">
        <v>304</v>
      </c>
      <c r="F2" s="18" t="s">
        <v>479</v>
      </c>
      <c r="G2" s="18" t="s">
        <v>453</v>
      </c>
      <c r="H2" s="18" t="s">
        <v>58</v>
      </c>
    </row>
    <row r="3" customFormat="false" ht="15" hidden="false" customHeight="true" outlineLevel="0" collapsed="false">
      <c r="A3" s="18" t="s">
        <v>20</v>
      </c>
      <c r="B3" s="18" t="s">
        <v>31</v>
      </c>
      <c r="C3" s="18" t="s">
        <v>140</v>
      </c>
      <c r="D3" s="18" t="s">
        <v>160</v>
      </c>
      <c r="E3" s="18" t="s">
        <v>320</v>
      </c>
      <c r="F3" s="18" t="s">
        <v>438</v>
      </c>
      <c r="G3" s="18" t="s">
        <v>443</v>
      </c>
      <c r="H3" s="18" t="s">
        <v>185</v>
      </c>
    </row>
    <row r="4" customFormat="false" ht="15" hidden="false" customHeight="true" outlineLevel="0" collapsed="false">
      <c r="A4" s="18" t="s">
        <v>22</v>
      </c>
      <c r="B4" s="18" t="s">
        <v>32</v>
      </c>
      <c r="C4" s="18" t="s">
        <v>208</v>
      </c>
      <c r="D4" s="18" t="s">
        <v>184</v>
      </c>
      <c r="E4" s="18" t="s">
        <v>333</v>
      </c>
      <c r="F4" s="18" t="s">
        <v>439</v>
      </c>
      <c r="G4" s="18" t="s">
        <v>517</v>
      </c>
      <c r="H4" s="18" t="s">
        <v>362</v>
      </c>
    </row>
    <row r="5" customFormat="false" ht="15" hidden="false" customHeight="true" outlineLevel="0" collapsed="false">
      <c r="A5" s="18" t="s">
        <v>24</v>
      </c>
      <c r="C5" s="18" t="s">
        <v>96</v>
      </c>
      <c r="D5" s="18" t="s">
        <v>226</v>
      </c>
      <c r="E5" s="18" t="s">
        <v>540</v>
      </c>
      <c r="G5" s="18" t="s">
        <v>484</v>
      </c>
    </row>
    <row r="6" customFormat="false" ht="15" hidden="false" customHeight="true" outlineLevel="0" collapsed="false">
      <c r="A6" s="18" t="s">
        <v>26</v>
      </c>
      <c r="C6" s="18" t="s">
        <v>172</v>
      </c>
      <c r="D6" s="18" t="s">
        <v>255</v>
      </c>
      <c r="E6" s="18" t="s">
        <v>541</v>
      </c>
    </row>
    <row r="7" customFormat="false" ht="15" hidden="false" customHeight="true" outlineLevel="0" collapsed="false">
      <c r="C7" s="18" t="s">
        <v>79</v>
      </c>
      <c r="D7" s="18" t="s">
        <v>152</v>
      </c>
    </row>
    <row r="8" customFormat="false" ht="15" hidden="false" customHeight="true" outlineLevel="0" collapsed="false">
      <c r="C8" s="18" t="s">
        <v>105</v>
      </c>
      <c r="D8" s="18" t="s">
        <v>441</v>
      </c>
    </row>
    <row r="9" customFormat="false" ht="15" hidden="false" customHeight="true" outlineLevel="0" collapsed="false">
      <c r="C9" s="18" t="s">
        <v>542</v>
      </c>
      <c r="D9" s="18" t="s">
        <v>489</v>
      </c>
    </row>
    <row r="10" customFormat="false" ht="15" hidden="false" customHeight="true" outlineLevel="0" collapsed="false">
      <c r="C10" s="18" t="s">
        <v>543</v>
      </c>
      <c r="D10" s="18" t="s">
        <v>458</v>
      </c>
    </row>
    <row r="11" customFormat="false" ht="15" hidden="false" customHeight="true" outlineLevel="0" collapsed="false">
      <c r="C11" s="18" t="s">
        <v>544</v>
      </c>
    </row>
    <row r="12" customFormat="false" ht="15" hidden="false" customHeight="true" outlineLevel="0" collapsed="false">
      <c r="C12" s="18" t="s">
        <v>185</v>
      </c>
    </row>
    <row r="13" customFormat="false" ht="15" hidden="false" customHeight="true" outlineLevel="0" collapsed="false">
      <c r="C13" s="18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2026-10-23T16:24:14Z</dcterms:created>
  <dc:creator>openpyxl</dc:creator>
  <dc:description/>
  <dc:language>en-US</dc:language>
  <cp:lastModifiedBy/>
  <dcterms:modified xsi:type="dcterms:W3CDTF">2026-10-23T17:44:53Z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