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 | 30/10/2026 (D-103): il bias di 96,8° resta; la deriva vera è ~−0,05°/anno con oscillazione annua ±0,15° (GMAT), non −0,33°/anno; ora del nodo 10:30 → 9:56 in 2 anni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inlineStr">
        <is>
          <t xml:space="preserve"> | 30/10/2026 (D-105): con spinta solo in luce il 50% di accensione usa ~83% della luce disponibile; da verificare in A6/Fase B | 30/10/2026 (D-108): con 6 pannelli la spinta sostenibile è ~5,5 h/giorno (non ~12): discesa più lunga, da rifare con GMAT in A6</t>
        </is>
      </c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 | 31/10/2026 (D-117): la Large è in due blocchi (motore + serbatoio, 2,2U, ~6 kg); il valore prudente di 250 mm in un blocco unico (V-01) è sostituito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 | 30/10/2026 (D-110, Proposta): termico di piattaforma a Giuseppe (modello termico unico del satellite) | 30/10/2026: D-110 approvata (termico di piattaforma a Giuseppe) | 30/10/2026 (D-113, Proposta): struttura e meccanismi, computer di bordo e cablaggi a Giuliano (R1); con l'approvazione di Giuseppe D-038 si chiude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 | 31/10/2026 (A5.7.2): massa stimata ~21 kg nominali, ~28 kg con margini: le inerzie vere possono stare sotto il minimo dell'inviluppo (calcolato da 30 kg): verifica in A5.7.8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 | 31/10/2026 (D-117, DR-67): con 2,04 kg di iodio il serbatoio entro ~70 mm dalla linea di spinta sposta il baricentro di ≤ 5,1 mm da pieno a vuoto (±2,6 mm attorno alla linea)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 | 30/10/2026 (D-099, Proposta): N = 30 minuti (TBC) dal termico del payload (A5.P7). | 30/10/2026 (D-099): N = 30 min (TBC, da misurare al commissioning)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Superata</t>
        </is>
      </c>
      <c r="M79" s="47" t="inlineStr">
        <is>
          <t>D-118</t>
        </is>
      </c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 | 31/10/2026 (D-118, Proposta): telescopio spostato anche contro la faccia +X (asse a X +43 mm) per fare posto alla REGULUS su −X | 31/10/2026: superata da D-118 (telescopio nell'angolo +X/−Y)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 | 30/10/2026 (D-106): i pannelli non sono perpendicolari all'asse ottico ma con normale opposta alla direzione di vista (ali a zenit): in safe Sole a ~180° dall'asse, condizione ancora più sicura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 | 30/10/2026 (D-098): la distanza tra gli specchi la tengono aste in Invar; il carbonio resta per guscio e paratie.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Approvata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 | 30/10/2026 Giuliano: approvata. Lato EPS nessun conflitto: angolo beta sempre positivo (11–44° nei 2 anni, A5.6.2), quindi la faccia normale all'orbita opposta al Sole non lo vede nell'assetto nominale e lascia libera per i pannelli la faccia dal lato del Sole. Esposizione al Sole di quella faccia con il rollio delle riprese a 45° e in safe: la calcola Giuliano in A5.6.5 (pannelli e assetti) | 30/10/2026 (D-106, Proposta): con il rollio fisso di 31–52° verso il Sole fuori dalle riprese la faccia dei radiatori guarda di più la Terra: vista della Terra da rifare (Giuseppe) | 30/10/2026 (D-106 Approvata, D-107): con il rollio fisso la faccia dei radiatori vede meno Terra (0,02–0,10) e il Sole per ~30 min/orbita a 70–78°: aree invariate; da spenti servono riscaldatori di sopravvivenza (D-107)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Approvata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 | 30/10/2026 Giuliano: in valutazione nel sotto-passo GNC A5.4.4 (dopo A5.6.2, prima di A5.6.3). Stima di primo ordine: momento ~0,014 N·m·s (I = 1,14 kg·m², 0,70°/s) contro 0,030 di D-045; coppia ~0,003 N·m con rampa di 5 s, sotto i 7 mN·m delle ruote | 30/10/2026 Giuliano: approvata in A5.4.4 con le condizioni di D-101 (ripresa 4,2 s, rotazione 2,9° a nadir, calibrazione del fattore di scala, DR-58)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Approvata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 | 30/10/2026 Giuliano: approvata. Conti ricontrollati (passaggio diurno ~1,6 Wh, notturno ~1,2 Wh, scarico 3,5 W × 71 min ≈ 4,1 Wh/giorno). Totali del bilancio con margini: ripresa diurna 36,3 W, notturna 32,4 W, scarico 44,9 W (senza OBC, EPS e termico di piattaforma, ancora TBD)</t>
        </is>
      </c>
    </row>
    <row r="99" s="26">
      <c r="A99" s="47" t="inlineStr">
        <is>
          <t>D-098</t>
        </is>
      </c>
      <c r="B99" s="48" t="n">
        <v>46325</v>
      </c>
      <c r="C99" s="47" t="inlineStr">
        <is>
          <t>A5</t>
        </is>
      </c>
      <c r="D99" s="47" t="inlineStr">
        <is>
          <t>Giuseppe</t>
        </is>
      </c>
      <c r="E99" s="47" t="inlineStr">
        <is>
          <t>Payload</t>
        </is>
      </c>
      <c r="F99" s="47" t="inlineStr">
        <is>
          <t>Distanza tra primario e secondario tenuta da 4 aste in Invar (Ø ~6 mm, ~170 mm, ~155 g) invece che dal tubo in carbonio, che resta come guscio contro la luce (più sottile, ~1 mm). Specchi in vetro a bassa dilatazione (classe Zerodur, ≤ ~0,1 ppm/K); attacco del piano focale in Invar. Fuoco: 1,7 µm/K → telescopio da tenere entro ±11 K dalla temperatura di regolazione; nessun effetto dell'umidità</t>
        </is>
      </c>
      <c r="G99" s="47" t="inlineStr">
        <is>
          <t>Motorino di messa a fuoco sul secondario (~80 g, corregge tutto ma è un meccanismo in più: riserva per la Fase B); carbonio con barriera all'umidità (riduce ma non elimina: 20–100 ppm di accorciamento = 27–137 µm di fuoco); struttura e specchi in carburo di silicio (atermico, ma costoso e fuori misura per un CubeSat); solo pre-correzione a terra (se la stima sbaglia non si recupera)</t>
        </is>
      </c>
      <c r="H99" s="47" t="inlineStr">
        <is>
          <t>Il fuoco è molto sensibile alla distanza tra gli specchi (+1 µm → −8,1 µm al fuoco, calcolato raggio per raggio): il carbonio che perde umidità nel vuoto porterebbe il fuoco fuori da ±37 µm (DR-03). L'Invar non assorbe acqua e si dilata poco; ±11 K si tengono con i riscaldatori (D-100). Massa del telescopio circa invariata (aste +0,16 kg, tubo più sottile −0,24 kg)</t>
        </is>
      </c>
      <c r="I99" s="47" t="inlineStr">
        <is>
          <t>Struttura del telescopio (D-090: il carbonio non è più strutturale tra gli specchi), termico (DR-57, D-100), massa M-11 (circa invariata), prima frequenza propria (DR-38, Fase B)</t>
        </is>
      </c>
      <c r="J99" s="47" t="inlineStr">
        <is>
          <t>DR-03, DR-57, DR-38</t>
        </is>
      </c>
      <c r="K99" s="47" t="inlineStr">
        <is>
          <t>R-49</t>
        </is>
      </c>
      <c r="L99" s="47" t="inlineStr">
        <is>
          <t>Approvata</t>
        </is>
      </c>
      <c r="M99" s="47" t="n"/>
      <c r="N99" s="47" t="inlineStr">
        <is>
          <t>Chat del 30/10/2026 (A5.P7)</t>
        </is>
      </c>
      <c r="O99" s="47" t="inlineStr">
        <is>
          <t>Calcolo in a5_calcoli/p4_ottica/fuoco_termico.py (con specchi Zerodur e tubo in carbonio da 0,5 ppm/K il fuoco sarebbe 0,72 µm/K, ±26 K, ma senza protezione dall'umidità)</t>
        </is>
      </c>
    </row>
    <row r="100" s="26">
      <c r="A100" s="47" t="inlineStr">
        <is>
          <t>D-099</t>
        </is>
      </c>
      <c r="B100" s="48" t="n">
        <v>46325</v>
      </c>
      <c r="C100" s="47" t="inlineStr">
        <is>
          <t>A5</t>
        </is>
      </c>
      <c r="D100" s="47" t="inlineStr">
        <is>
          <t>Giuseppe</t>
        </is>
      </c>
      <c r="E100" s="47" t="inlineStr">
        <is>
          <t>Propulsione</t>
        </is>
      </c>
      <c r="F100" s="47" t="inlineStr">
        <is>
          <t>Valore di N in D-074: spinta vietata da 30 minuti prima di ogni ripresa pianificata (TBC), fino a 5 minuti dopo come in D-074. Da misurare al commissioning (fuoco e temperatura del telescopio dopo la spinta) e ridurre se possibile</t>
        </is>
      </c>
      <c r="G100" s="47" t="inlineStr">
        <is>
          <t>15 minuti (basterebbe per la temperatura media del telescopio, ma senza margine per i gradienti vicino al motore, non ancora calcolati); 60 minuti (valore provvisorio: più riprese d'emergenza col rischio di prima immagine degradata)</t>
        </is>
      </c>
      <c r="H100" s="47" t="inlineStr">
        <is>
          <t>Il telescopio è isolato e lento (costante di tempo ~1–4 h con attacchi da 0,1–0,3 W/K): se il motore scalda l'interno di 5 K, dopo 30 min il telescopio sale di ~1–2 K contro i ±11 K ammessi (D-098). Tempo di spinta disponibile ancora più largo che con 60 min (Giuliano, D-074: 22,4 h/giorno con 60 min)</t>
        </is>
      </c>
      <c r="I100" s="47" t="inlineStr">
        <is>
          <t>Piano operativo e spinta (D-074, DR-46, Giuliano), riprese d'emergenza, commissioning</t>
        </is>
      </c>
      <c r="J100" s="47" t="inlineStr">
        <is>
          <t>DR-46</t>
        </is>
      </c>
      <c r="K100" s="47" t="inlineStr">
        <is>
          <t>R-24</t>
        </is>
      </c>
      <c r="L100" s="47" t="inlineStr">
        <is>
          <t>Approvata</t>
        </is>
      </c>
      <c r="M100" s="47" t="n"/>
      <c r="N100" s="47" t="inlineStr">
        <is>
          <t>Chat del 30/10/2026 (A5.P7)</t>
        </is>
      </c>
      <c r="O100" s="47" t="inlineStr">
        <is>
          <t>Proposta: fissa un valore del piano di spinta di Giuliano. Calcolo in a5_calcoli/p7_termico.py. Il modello termico completo (gradienti dal motore, posizione della REGULUS nel layout A5.7) in Fase B | 30/10/2026 Giuliano: approvata. Più tempo per la spinta (con 60 min restavano 22,4 h/giorno, D-074); entra nella strategia di spinta (A5.6.4)</t>
        </is>
      </c>
    </row>
    <row r="101" s="26">
      <c r="A101" s="47" t="inlineStr">
        <is>
          <t>D-100</t>
        </is>
      </c>
      <c r="B101" s="48" t="n">
        <v>46325</v>
      </c>
      <c r="C101" s="47" t="inlineStr">
        <is>
          <t>A5</t>
        </is>
      </c>
      <c r="D101" s="47" t="inlineStr">
        <is>
          <t>Giuseppe</t>
        </is>
      </c>
      <c r="E101" s="47" t="inlineStr">
        <is>
          <t>Termico</t>
        </is>
      </c>
      <c r="F101" s="47" t="inlineStr">
        <is>
          <t>Termico del payload: telescopio regolato con riscaldatori a una temperatura vicina a quella media dell'interno (~15–20 °C, TBC) entro ±11 K; coperte isolanti (MLI) sulla colonna e attacchi isolati (0,1–0,3 W/K); coperchio chiuso fuori dalle riprese. Riscaldatori: ~4 W di picco a coperchio aperto, ~2 W in media in operazioni, ~1 W in safe (solo sopravvivenza). Radiatori come D-095</t>
        </is>
      </c>
      <c r="G101" s="47" t="inlineStr">
        <is>
          <t>Riscaldatori sempre accesi a 4 W (valore provvisorio, ~96 Wh/giorno); nessuna regolazione (fuoco non garantito)</t>
        </is>
      </c>
      <c r="H101" s="47" t="inlineStr">
        <is>
          <t>Bilancio semplice: perdita dall'apertura aperta verso la Terra ~1,8–2,3 W, coperchio chiuso ~0,2 W, MLI 0,1–0,7 W, più la conduzione verso l'interno che dipende dalla temperatura di regolazione. In safe il fuoco non serve: basta restare nei limiti di sopravvivenza</t>
        </is>
      </c>
      <c r="I101" s="47" t="inlineStr">
        <is>
          <t>Bilancio di potenza P-23 (Giuliano: valori più bassi del provvisorio), termico di piattaforma (temperatura interna), D-095</t>
        </is>
      </c>
      <c r="J101" s="47" t="inlineStr">
        <is>
          <t>DR-03, DR-55, DR-57</t>
        </is>
      </c>
      <c r="K101" s="47" t="inlineStr">
        <is>
          <t>R-24, R-49, R-51</t>
        </is>
      </c>
      <c r="L101" s="47" t="inlineStr">
        <is>
          <t>Approvata</t>
        </is>
      </c>
      <c r="M101" s="47" t="n"/>
      <c r="N101" s="47" t="inlineStr">
        <is>
          <t>Chat del 30/10/2026 (A5.P7)</t>
        </is>
      </c>
      <c r="O101" s="47" t="inlineStr">
        <is>
          <t>Proposta: cambia P-23 nel bilancio di Giuliano. Calcolo in a5_calcoli/p7_termico.py; modello termico vero in Fase B | 30/10/2026 Giuliano: approvata. Energia dei riscaldatori del payload da ~96 a ~48 Wh/giorno in operazioni (~24 Wh in safe). Nel budget P-23 la colonna Riposo/safe porta 1 W (safe): nel profilo orbita per orbita (A5.6.3) il riposo in operazioni usa 2 W | 30/10/2026 (D-107, Proposta): +1 W di riscaldatori di sopravvivenza per sensore notturno e scheda fuori dalle riprese: P-23 4/4/3/3/2 W</t>
        </is>
      </c>
    </row>
    <row r="102" s="26">
      <c r="A102" s="47" t="inlineStr">
        <is>
          <t>D-101</t>
        </is>
      </c>
      <c r="B102" s="48" t="n">
        <v>46325</v>
      </c>
      <c r="C102" s="47" t="inlineStr">
        <is>
          <t>A5</t>
        </is>
      </c>
      <c r="D102" s="47" t="inlineStr">
        <is>
          <t>Giuliano</t>
        </is>
      </c>
      <c r="E102" s="47" t="inlineStr">
        <is>
          <t>GNC</t>
        </is>
      </c>
      <c r="F102" s="47" t="inlineStr">
        <is>
          <t>Risposta a D-096 (opzione A): rallentamento ×2 fattibile. Rampa del beccheggio dentro lo slew di 60 s verso il bersaglio (nominale); tra due bersagli senza slew rampe separate con coppia pianificata ≤ 1 mN·m partendo da un assetto già inclinato in avanti (23 s a nadir, 16 s a 45° di traverso, 12 s a 45° lungo traccia). Ripresa per scena 4,2 s (scena 2,6 s + bande 1,58 s), rotazione 2,9° a nadir. Fattore di scala del giroscopio di beccheggio calibrato in volo contro lo star tracker (DR-58)</t>
        </is>
      </c>
      <c r="G102" s="47" t="inlineStr">
        <is>
          <t>B: rampe separate a 3 mN·m (bersagli senza slew a ~160 km invece di ~380 km, ma assestamento 2,1–3,2 s, 9,2 s prima del commissioning, fuori DR-08; picchi di potenza delle ruote più alti); C: rifiutare D-096 e usare 0,1 ms senza manovra (SNR diurno −30%)</t>
        </is>
      </c>
      <c r="H102" s="47" t="inlineStr">
        <is>
          <t>Simulazione 1-asse (banda 1 rad/s, 10 Hz, GY2, inerzia 0,64–1,14, stimata ±10% e nominale): coppia ≤ 1,0 mN·m (rampa nello slew), momento ≤ 0,013 N·m·s, errore in scena ≤ 0,012°, deriva in scena ≤ 0,001°/s dopo l'assestamento (0–0,65 s, 2,0 s prima del commissioning). Tempo aggiunto +2,1–2,7 s per scena (~+20 km tra bersagli): scene possibili 2,7 → 2,6 al giorno, passaggi con 4 scene 44% → 33%, giorni con ≥ 4 scene 40% → 30%. Vincolo nuovo: con la rotazione a 0,77°/s e 1,58 s tra le bande il fattore di scala ammesso scende da ~2.500 a ~80 ppm (CRH03: 1.500–3.000 ppm sulla temperatura)</t>
        </is>
      </c>
      <c r="I102" s="47" t="inlineStr">
        <is>
          <t>ADCS (profilo e software di guida), commissioning e calibrazione periodica del giroscopio, pianificazione delle riprese diurne (A6: bersagli senza slew ≥ ~380 km), DR-56 (durata e rotazione, Giuseppe), DR-18, DR-08</t>
        </is>
      </c>
      <c r="J102" s="47" t="inlineStr">
        <is>
          <t>DR-56, DR-58, DR-18, DR-08, DR-05, DR-15</t>
        </is>
      </c>
      <c r="K102" s="47" t="inlineStr">
        <is>
          <t>R-53, R-54</t>
        </is>
      </c>
      <c r="L102" s="47" t="inlineStr">
        <is>
          <t>Approvata</t>
        </is>
      </c>
      <c r="M102" s="47" t="n"/>
      <c r="N102" s="47" t="inlineStr">
        <is>
          <t>A5.4.4 (GNC) – chat del 30/10/2026; PULSE_ADCS/A5.4 (rallentamento_diurno.py)</t>
        </is>
      </c>
      <c r="O102" s="47" t="inlineStr">
        <is>
          <t>Proposta: cambia durata della ripresa (2,6 → 4,2 s) e rotazione (1,8° → 2,9°) di DR-56, valori di Giuseppe. Rampa nello slew a nadir: coppia pianificata 1,06 mN·m (6% sopra la regola di D-045; si rientra con slew di 63 s o beccheggio di partenza in avanti). Ripiego se la calibrazione non basta: riallineamento delle bande per correlazione d'immagine (DR-26, Giuseppe). Numerazione: A5.4.4 esiste già nel README di A5.4 (altri modi), da rinumerare se serve | 30/10/2026 Giuseppe: approvata. Frame e dati invariati: 42 immagini per scena (prima ~2,1 s × 20 immagini/s, ora ~4,2 s × ~10 immagini/s), stessi MB per scena, ~3,7 Gbit/s verso la scheda (DR-12, DR-13); cambia solo la durata. La correlazione tra le bande a bordo (DR-26) si usa come complemento del giroscopio, non solo come ripiego</t>
        </is>
      </c>
    </row>
    <row r="103" s="26">
      <c r="A103" s="47" t="inlineStr">
        <is>
          <t>D-102</t>
        </is>
      </c>
      <c r="B103" s="48" t="n">
        <v>46325</v>
      </c>
      <c r="C103" s="47" t="inlineStr">
        <is>
          <t>A5</t>
        </is>
      </c>
      <c r="D103" s="47" t="inlineStr">
        <is>
          <t>Giuliano</t>
        </is>
      </c>
      <c r="E103" s="47" t="inlineStr">
        <is>
          <t>Potenza</t>
        </is>
      </c>
      <c r="F103" s="47" t="inlineStr">
        <is>
          <t>Valori di progetto di luce ed eclisse per il bilancio di potenza (a): eclisse massima 36,0 min per orbita (umbra + penombra, GMAT su 2 anni), luce minima 54,5 min su un periodo di 90,56 min (15,9 orbite/giorno, ~11.600 cicli della batteria in 2 anni). Nessuna orbita senza eclisse; angolo beta sempre dello stesso segno. Passaggio diurno sull'Italia ~10–25 min dopo l'uscita dall'ombra; passaggio notturno in fondo all'eclisse (~0–15 min prima dell'uscita)</t>
        </is>
      </c>
      <c r="G103" s="47" t="inlineStr">
        <is>
          <t>b: 36,6 min dal modello Python (ombra conica, Terra sferica, senza Luna), ~2% più prudente</t>
        </is>
      </c>
      <c r="H103" s="47" t="inlineStr">
        <is>
          <t>GMAT (JGM3 4×4, Sole e Luna, eclipse locator su 11.590 eclissi) è lo strumento di riferimento del progetto; Python conferma entro ~1 min (GMAT ~50 s più corto). Il margine si mette sulla batteria e sulla potenza (D-035), non sul tempo</t>
        </is>
      </c>
      <c r="I103" s="47" t="inlineStr">
        <is>
          <t>Dimensionamento di pannelli e batteria (A5.6.5–A5.6.7), profilo orbita per orbita (A5.6.3), strategia di spinta (A5.6.4), termico del payload (durata del buio, A5.P7)</t>
        </is>
      </c>
      <c r="J103" s="47" t="n"/>
      <c r="K103" s="47" t="inlineStr">
        <is>
          <t>R-07</t>
        </is>
      </c>
      <c r="L103" s="47" t="inlineStr">
        <is>
          <t>Approvata</t>
        </is>
      </c>
      <c r="M103" s="47" t="n"/>
      <c r="N103" s="47" t="inlineStr">
        <is>
          <t>Chat del 30/10/2026 (A5.6.2); PULSE_EPS/A5.6 (luce_eclisse.py, confronto_gmat.py, gmat/)</t>
        </is>
      </c>
      <c r="O103" s="47" t="inlineStr">
        <is>
          <t>Ombra GMAT per orbita 34,7–36,0 min (media 35,5); penombra ~0,3 min. Per Giuseppe: valore del buio per l'analisi termica (A5.P7)</t>
        </is>
      </c>
    </row>
    <row r="104" s="26">
      <c r="A104" s="47" t="inlineStr">
        <is>
          <t>D-103</t>
        </is>
      </c>
      <c r="B104" s="48" t="n">
        <v>46325</v>
      </c>
      <c r="C104" s="47" t="inlineStr">
        <is>
          <t>A5</t>
        </is>
      </c>
      <c r="D104" s="47" t="inlineStr">
        <is>
          <t>Giuliano</t>
        </is>
      </c>
      <c r="E104" s="47" t="inlineStr">
        <is>
          <t>Orbita</t>
        </is>
      </c>
      <c r="F104" s="47" t="inlineStr">
        <is>
          <t>Inclinazione di iniezione 96,8° (D-012) confermata (A), con motivazione corretta: la deriva vera dell'inclinazione media non è −0,33°/anno (MDR, da EarthNext con formula semplificata) ma ~−0,05°/anno con un'oscillazione annua di ±0,15° (GMAT, Sole e Luna, 2 anni). Effetto: ora del nodo discendente da 10:30 a 9:56 in 2 anni (−34 min)</t>
        </is>
      </c>
      <c r="G104" s="47" t="inlineStr">
        <is>
          <t>B: alzare il bias per tenere l'ora vicina alle 10:30 (nuovo GMAT e nuovo requisito di lancio senza un bisogno vero); C: fissare prima una tolleranza sull'ora (rimandata ad A6 come DR-59)</t>
        </is>
      </c>
      <c r="H104" s="47" t="inlineStr">
        <is>
          <t>Con 96,8° l'ora resta tra 9:56 e 10:30 per tutta la vita: luce del mattino e ombre utili sull'Italia mantenute; lancio (A1-bis), GMAT e report già fatti restano validi</t>
        </is>
      </c>
      <c r="I104" s="47" t="inlineStr">
        <is>
          <t>D-012 (solo la motivazione), requisito di lancio di A1-bis invariato, illuminazione delle riprese diurne (ora 10:00–10:30)</t>
        </is>
      </c>
      <c r="J104" s="47" t="inlineStr">
        <is>
          <t>DR-59</t>
        </is>
      </c>
      <c r="K104" s="47" t="n"/>
      <c r="L104" s="47" t="inlineStr">
        <is>
          <t>Approvata</t>
        </is>
      </c>
      <c r="M104" s="47" t="n"/>
      <c r="N104" s="47" t="inlineStr">
        <is>
          <t>Chat del 30/10/2026 (A5.6.2); PULSE_EPS/A5.6/confronto_gmat.py</t>
        </is>
      </c>
      <c r="O104" s="47" t="inlineStr">
        <is>
          <t>Python con −0,33°/anno dava 9:01 a fine vita, con −0,030°/anno (media di Gauss del solo Sole, deriva_inclinazione.py) 11:09: il secondo sbagliava perché usava l'inclinazione eliosincrona da solo J2 (96,68° invece di ~96,70°) e non vedeva l'oscillazione annua</t>
        </is>
      </c>
    </row>
    <row r="105" s="26">
      <c r="A105" s="47" t="inlineStr">
        <is>
          <t>D-104</t>
        </is>
      </c>
      <c r="B105" s="48" t="n">
        <v>46325</v>
      </c>
      <c r="C105" s="47" t="inlineStr">
        <is>
          <t>A5</t>
        </is>
      </c>
      <c r="D105" s="47" t="inlineStr">
        <is>
          <t>Giuliano</t>
        </is>
      </c>
      <c r="E105" s="47" t="inlineStr">
        <is>
          <t>Potenza</t>
        </is>
      </c>
      <c r="F105" s="47" t="inlineStr">
        <is>
          <t>Valori provvisori per le voci di piattaforma ancora vuote del bilancio di potenza: computer di bordo 0,4 W (classe ISIS iOBC, 400 mW medi) e EPS a vuoto 0,6 W (classe GomSpace NanoPower P60 con ACU e PDU, 600 mW in attesa); rendimento di conversione a parte (A5.6.6); riscaldatori della batteria TBD fino alla scelta della batteria (A5.6.6). Motore REGULUS: 50 W d'ingresso comprensivi del riscaldamento dello iodio (il datasheet non lo dà a parte)</t>
        </is>
      </c>
      <c r="G105" s="47" t="inlineStr">
        <is>
          <t>Lasciare le voci vuote fino alla scelta dei prodotti (bilancio dei modi incompleto)</t>
        </is>
      </c>
      <c r="H105" s="47" t="inlineStr">
        <is>
          <t>Servono numeri per costruire i modi e le orbite tipo (A5.6.3); valori di prodotti di classe già in volo, sostituibili quando si sceglierà l'OBC (D-038 ancora aperta) e l'EPS</t>
        </is>
      </c>
      <c r="I105" s="47" t="inlineStr">
        <is>
          <t>Budget P-17 e P-20; tabella dei modi (base sempre accesa 12,7 W); bilancio orbita per orbita</t>
        </is>
      </c>
      <c r="J105" s="47" t="n"/>
      <c r="K105" s="47" t="inlineStr">
        <is>
          <t>R-07</t>
        </is>
      </c>
      <c r="L105" s="47" t="inlineStr">
        <is>
          <t>Provvisoria</t>
        </is>
      </c>
      <c r="M105" s="47" t="n"/>
      <c r="N105" s="47" t="inlineStr">
        <is>
          <t>Chat del 30/10/2026 (A5.6.3); PULSE_EPS/A5.6/modi_potenza.py</t>
        </is>
      </c>
      <c r="O105" s="47" t="inlineStr">
        <is>
          <t>Fonti: brochure ISIS iOBC; datasheet GomSpace NanoPower P60 ACU-200; datasheet T4i REGULUS (50 W, 20–60 W, 12 V). OBC senza responsabile (D-038): il valore resta TBC anche per chi lo prenderà | 31/10/2026 (D-121): masse e ingombri di computer di bordo e PCDU aggiunti (0,10 e 0,28 kg)</t>
        </is>
      </c>
    </row>
    <row r="106" s="26">
      <c r="A106" s="47" t="inlineStr">
        <is>
          <t>D-105</t>
        </is>
      </c>
      <c r="B106" s="48" t="n">
        <v>46325</v>
      </c>
      <c r="C106" s="47" t="inlineStr">
        <is>
          <t>A5</t>
        </is>
      </c>
      <c r="D106" s="47" t="inlineStr">
        <is>
          <t>Giuliano</t>
        </is>
      </c>
      <c r="E106" s="47" t="inlineStr">
        <is>
          <t>Propulsione</t>
        </is>
      </c>
      <c r="F106" s="47" t="inlineStr">
        <is>
          <t>Strategia di spinta per la potenza (A): motore acceso solo in luce e fermo durante la trasmissione in banda S ai contatti (oltre al divieto prima e dopo le riprese di D-074/D-099). Picco con margini ~86 W (spinta); energia chiesta alla batteria nel caso peggiore ~16 Wh per orbita (ripresa notturna in fondo all'eclisse)</t>
        </is>
      </c>
      <c r="G106" s="47" t="inlineStr">
        <is>
          <t>B: solo in luce ma contatti anche durante la spinta (picco ~110 W con margini); C: spinta anche in eclissi (batteria ~54 Wh per orbita, 3–4 volte più grande)</t>
        </is>
      </c>
      <c r="H106" s="47" t="inlineStr">
        <is>
          <t>Tempo abbondante: ~14,4 h di luce al giorno (D-102) contro 4,2–7,8 h di spinta e ~1,2 h di contatti; fermare il motore nei ~71 min di trasmissione costa poco e tiene piccoli batteria e picco</t>
        </is>
      </c>
      <c r="I106" s="47" t="inlineStr">
        <is>
          <t>Dimensionamento di pannelli e batteria (A5.6.5–A5.6.7), software di bordo (gestione motore–radio), piano operativo (R-14), discesa iniziale D-021 (motore al 50% ≈ 12 h/giorno: con la sola luce usa ~83% del tempo di luce; se non basta la discesa si allunga di qualche giorno). D-068 resta valida: per l'antenna contatti e spinta possono convivere, per la potenza si separano</t>
        </is>
      </c>
      <c r="J106" s="47" t="inlineStr">
        <is>
          <t>DR-60</t>
        </is>
      </c>
      <c r="K106" s="47" t="inlineStr">
        <is>
          <t>R-07, R-14</t>
        </is>
      </c>
      <c r="L106" s="47" t="inlineStr">
        <is>
          <t>Approvata</t>
        </is>
      </c>
      <c r="M106" s="47" t="n"/>
      <c r="N106" s="47" t="inlineStr">
        <is>
          <t>Chat del 30/10/2026 (A5.6.4); PULSE_EPS/A5.6/orbite_tipo.py</t>
        </is>
      </c>
      <c r="O106" s="47" t="inlineStr">
        <is>
          <t>Orbite tipo A5.6.3 (con margini): spinta solo in luce 89 Wh/orbita, 11 Wh al buio; spinta su tutta l'orbita 130 Wh, 52 Wh al buio; con contatto al buio picco 110 W</t>
        </is>
      </c>
    </row>
    <row r="107" s="26">
      <c r="A107" s="47" t="inlineStr">
        <is>
          <t>D-106</t>
        </is>
      </c>
      <c r="B107" s="48" t="n">
        <v>46325</v>
      </c>
      <c r="C107" s="47" t="inlineStr">
        <is>
          <t>A5</t>
        </is>
      </c>
      <c r="D107" s="47" t="inlineStr">
        <is>
          <t>Giuliano</t>
        </is>
      </c>
      <c r="E107" s="47" t="inlineStr">
        <is>
          <t>Potenza</t>
        </is>
      </c>
      <c r="F107" s="47" t="inlineStr">
        <is>
          <t>Configurazione dei pannelli (P3): ali dispiegabili fisse con la faccia attiva verso lo zenit, nel piano che contiene la velocità (di taglio rispetto al flusso), più la faccia a zenit del corpo dove libera; in attesa e in spinta rollio fisso di ~31–52° (TBC, valore ottimo che varia con le stagioni) attorno alla velocità verso il lato del Sole; per le riprese il satellite torna a nadir con gli slew già previsti. Fattore k caso peggiore 0,58: ~0,44 m² di pannello con Sole medio, ~0,56 m² con Sole alto (4,2–5,5 pannelli da 226 × 454 mm, a 270 W/m² fine vita, stima)</t>
        </is>
      </c>
      <c r="G107" s="47" t="inlineStr">
        <is>
          <t>P2: ali fisse a zenit senza rollio (k 0,44, 0,57–0,73 m²); P4: ala con motore di rotazione SADA (k 0,85, 0,29–0,38 m², ma ~70% dell'area dell'ala esposta alla velocità in luce, drag e ΔV ~3 volte); solo pannelli sul corpo (non bastano)</t>
        </is>
      </c>
      <c r="H107" s="47" t="inlineStr">
        <is>
          <t>Il rollio attorno alla velocità non cambia né l'area frontale né la direzione di spinta: ~25% di pannello in meno rispetto a P2 senza costi di drag; stessa soluzione di EarthNext (roll bias durante la spinta)</t>
        </is>
      </c>
      <c r="I107" s="47" t="inlineStr">
        <is>
          <t>Dimensionamento pannelli e batteria (A5.6.6), layout e inerzie con le ali (A5.7, D-043), ADCS: coppia di gradiente di gravità costante ~1,8·10⁻⁶ N·m a 40° (~0,010 N·m·s per orbita, scaricata dai magnetorquer; riserva DR-22 0,037), radiatori del payload (D-095: con il rollio la faccia vede di più la Terra), safe (DR-29, DR-37)</t>
        </is>
      </c>
      <c r="J107" s="47" t="inlineStr">
        <is>
          <t>DR-61, DR-29, DR-37, DR-22</t>
        </is>
      </c>
      <c r="K107" s="47" t="inlineStr">
        <is>
          <t>R-07, R-43</t>
        </is>
      </c>
      <c r="L107" s="47" t="inlineStr">
        <is>
          <t>Approvata</t>
        </is>
      </c>
      <c r="M107" s="47" t="n"/>
      <c r="N107" s="47" t="inlineStr">
        <is>
          <t>Chat del 30/10/2026 (A5.6.5); PULSE_EPS/A5.6/pannelli_config.py</t>
        </is>
      </c>
      <c r="O107" s="47" t="inlineStr">
        <is>
          <t>Proposta: cambia l'ipotesi di vista della Terra dei radiatori di Giuseppe (31% nel suo calcolo, D-095): da rifare con il rollio di 31–52°. Sole sui radiatori: mai in assetto nominale; con rollio di 45° verso il lato opposto al Sole a 64–77° dalla normale, solo durante le riprese (≤ ~8 min per passaggio diurno); in safe ≥ 75°. Safe: ali a zenit verso il Sole, telescopio a ~180° dal Sole (oltre i 52° del paraluce anche con coperchio bloccato aperto). Beta 19–32° (ora del nodo GMAT) | 30/10/2026 Giuseppe: approvata con D-107. Verifica radiatori (a5_calcoli/p7_radiatori_rollio.py, con le funzioni di PULSE_EPS/A5.6): il rollio verso il Sole inclina la faccia dei radiatori (-Y) verso lo ZENIT, non verso la Terra: vista della Terra 0,02–0,10 invece di 0,31; Sole sul radiatore ~28–31 min per orbita a 70–78° dalla normale (picco ~1 W); calore medio assorbito 26–35 W/m² invece di 70. Aree di D-095 invariate. Safe ok anche con coperchio bloccato aperto</t>
        </is>
      </c>
    </row>
    <row r="108" s="26">
      <c r="A108" s="47" t="inlineStr">
        <is>
          <t>D-107</t>
        </is>
      </c>
      <c r="B108" s="48" t="n">
        <v>46325</v>
      </c>
      <c r="C108" s="47" t="inlineStr">
        <is>
          <t>A5</t>
        </is>
      </c>
      <c r="D108" s="47" t="inlineStr">
        <is>
          <t>Giuseppe</t>
        </is>
      </c>
      <c r="E108" s="47" t="inlineStr">
        <is>
          <t>Termico</t>
        </is>
      </c>
      <c r="F108" s="47" t="inlineStr">
        <is>
          <t>Riscaldatori di sopravvivenza per il sensore notturno e la scheda payload quando sono spenti: ~0,6 W sul sensore e ~0,4 W sulla scheda (~1 W in tutto, TBC), con termostato, per non scendere sotto −30 °C (TBC, da confermare con i limiti dei datasheet). P-23 diventa 4 / 4 / 3 / 3 / 2 W (ripresa diurna / notturna / spinta / scarico / riposo-safe)</t>
        </is>
      </c>
      <c r="G108" s="47" t="inlineStr">
        <is>
          <t>Nessun riscaldatore (da spenti ~−33 °C a nadir e ~−43 °C con il rollio di D-106: sotto il minimo tipico dell'elettronica); interruttore termico o radiatore con collegamento variabile (toglie il consumo, ma è un componente in più: da valutare in Fase B)</t>
        </is>
      </c>
      <c r="H108" s="47" t="inlineStr">
        <is>
          <t>I radiatori di D-095 restano collegati anche a sensore e scheda spenti e li raffreddano. Stima con perdita verso l'interno di 0,017 W/K (interno 20 °C): ~1 W basta per −30 °C nel caso freddo con il rollio. Nelle riprese sensore e scheda sono accesi e non serve</t>
        </is>
      </c>
      <c r="I108" s="47" t="inlineStr">
        <is>
          <t>Bilancio di potenza P-23 (Giuliano: +1 W in spinta, scarico e riposo/safe), termico del payload (D-095, D-100), modello termico di Fase B</t>
        </is>
      </c>
      <c r="J108" s="47" t="inlineStr">
        <is>
          <t>DR-55, DR-57</t>
        </is>
      </c>
      <c r="K108" s="47" t="inlineStr">
        <is>
          <t>R-55, R-51</t>
        </is>
      </c>
      <c r="L108" s="47" t="inlineStr">
        <is>
          <t>Approvata</t>
        </is>
      </c>
      <c r="M108" s="47" t="n"/>
      <c r="N108" s="47" t="inlineStr">
        <is>
          <t>Chat del 30/10/2026 (A5.P7 bis, risposta a D-106)</t>
        </is>
      </c>
      <c r="O108" s="47" t="inlineStr">
        <is>
          <t>Proposta: cambia P-23 nel bilancio di Giuliano. Calcolo in a5_calcoli/p7_radiatori_rollio.py. In Fase B si può sostituire con un interruttore termico | 30/10/2026 Giuliano: approvata. P-23 a 4/4/3/3/2 W: +1 W fisso fuori dalle riprese (~+29 Wh/giorno con i margini, ~4% del giorno di routine); effetto sulla spinta sostenibile con 6 pannelli (D-108) da verificare in A5.6.7 | 30/10/2026 Giuliano: approvata. Effetto sul bilancio (con margini): riposo da 18,9 a 20,3 W, giorno di routine da 775 a 809 Wh, Sole alto da 1016 a 1050 Wh; 6 pannelli reggono 4,9 h/giorno di spinta (prima 5,5) contro 4,2 necessarie; batteria 4S3P al 21% a fine vita, 31% con una stringa guasta</t>
        </is>
      </c>
    </row>
    <row r="109" s="26">
      <c r="A109" s="47" t="inlineStr">
        <is>
          <t>D-108</t>
        </is>
      </c>
      <c r="B109" s="48" t="n">
        <v>46325</v>
      </c>
      <c r="C109" s="47" t="inlineStr">
        <is>
          <t>A5</t>
        </is>
      </c>
      <c r="D109" s="47" t="inlineStr">
        <is>
          <t>Giuliano</t>
        </is>
      </c>
      <c r="E109" s="47" t="inlineStr">
        <is>
          <t>Potenza</t>
        </is>
      </c>
      <c r="F109" s="47" t="inlineStr">
        <is>
          <t>Pannelli dimensionati sul Sole medio (A, come D-020 e D-033): 6 ali da 226 × 454 mm con 9 celle a tripla giunzione ciascuna (classe Azur Space 3G30-Advanced), 21,6 W per pannello a Sole perpendicolare a fine vita (5·10¹⁴ e/cm², 70 °C, perdite 5%), 74,5 W medi in luce con la configurazione D-106 (k 0,575). Regge 5,5 h/giorno di spinta contro 4,2 h necessarie (+31%). Valore provvisorio, da rivedere con la data di lancio insieme a spinta e propellente</t>
        </is>
      </c>
      <c r="G109" s="47" t="inlineStr">
        <is>
          <t>B: 8 pannelli per il Sole alto (10 h/giorno di spinta, +2 pannelli da stivare); C: 7 pannelli (Sole alto senza margine, 7,7 contro 7,8 h)</t>
        </is>
      </c>
      <c r="H109" s="47" t="inlineStr">
        <is>
          <t>Con Sole alto il primo limite è il propellente (D-034, ~22 mesi): dimensionare solo la potenza sul Sole alto non salva la missione. Tutti i budget sullo stesso caso; con un lancio dal 2027 il ciclo solare scende</t>
        </is>
      </c>
      <c r="I109" s="47" t="inlineStr">
        <is>
          <t>Massa e stivaggio delle ali (A5.7: verificare anche il posto per 8 come riserva), batteria (D-109), bilancio orbita per orbita (A5.6.7), discesa iniziale (D-021: 5,5 h/giorno di spinta invece di ~12, discesa più lunga, da rifare in A6), operazioni con Sole alto</t>
        </is>
      </c>
      <c r="J109" s="47" t="inlineStr">
        <is>
          <t>DR-62</t>
        </is>
      </c>
      <c r="K109" s="47" t="inlineStr">
        <is>
          <t>R-56, R-07</t>
        </is>
      </c>
      <c r="L109" s="47" t="inlineStr">
        <is>
          <t>Provvisoria</t>
        </is>
      </c>
      <c r="M109" s="47" t="n"/>
      <c r="N109" s="47" t="inlineStr">
        <is>
          <t>Chat del 30/10/2026 (A5.6.6); PULSE_EPS/A5.6/dimensionamento_pannelli.py</t>
        </is>
      </c>
      <c r="O109" s="47" t="inlineStr">
        <is>
          <t>Datasheet Azur 3G30-Advanced (bdb_00010894-02-00): 3,08 W BOL (29,0%), 2,85 W a 5E14, dVmp/dT −7,1 mV/°C; CIC 13,1 g (118 g di celle per pannello). Impaccamento 0,68 (9 celle su 226 × 454 mm). 5E14 prudente per 2 anni a 302 km (fluenza vera in Fase B). Conti con P-23 di D-100 (2 W a riposo): D-107 di Giuseppe (+1 W, approvata) da includere in A5.6.7. Numerata D-108 perché D-107 era già usata da Giuseppe | 30/10/2026 (D-107 approvata, +1 W): spinta sostenibile con 6 pannelli 4,9 h/giorno (+17% su 4,2); Sole medio richiede 5,70 pannelli, Sole alto 7,28</t>
        </is>
      </c>
    </row>
    <row r="110" s="26">
      <c r="A110" s="47" t="inlineStr">
        <is>
          <t>D-109</t>
        </is>
      </c>
      <c r="B110" s="48" t="n">
        <v>46325</v>
      </c>
      <c r="C110" s="47" t="inlineStr">
        <is>
          <t>A5</t>
        </is>
      </c>
      <c r="D110" s="47" t="inlineStr">
        <is>
          <t>Giuliano</t>
        </is>
      </c>
      <c r="E110" s="47" t="inlineStr">
        <is>
          <t>Potenza</t>
        </is>
      </c>
      <c r="F110" s="47" t="inlineStr">
        <is>
          <t>Batteria (B): Li-ion 4S3P, 12 celle 18650 da 2,6 Ah (classe GomSpace NanoPower), 112 Wh nominali, bus non regolato 12–16,8 V come EarthNext. Profondità di scarica nel caso peggiore (ripresa notturna e contatto al buio, 18,0 Wh dalla batteria) 20% a fine vita (capacità all'80%), 30% con una stringa guasta. Autonomia in detumbling con ali chiuse ~5,3 h. La spinta si programma nella parte centrale della luce, dove le ali producono di più, così la batteria non scarica durante la spinta (verifica in A5.6.7)</t>
        </is>
      </c>
      <c r="G110" s="47" t="inlineStr">
        <is>
          <t>A: 4S2P (75 Wh, 30% a fine vita ma 60% con una stringa guasta, 3,5 h di autonomia); C: 4S4P (150 Wh, 15%/20%, 4 celle in più senza bisogno)</t>
        </is>
      </c>
      <c r="H110" s="47" t="inlineStr">
        <is>
          <t>Unica opzione che resta nella fascia di scarica usata in LEO (20–40%) anche con una stringa guasta (criterio di EarthNext); ~11.600 cicli in 2 anni, oltre i 10.000 provati dalla NASA a 20–40%</t>
        </is>
      </c>
      <c r="I110" s="47" t="inlineStr">
        <is>
          <t>Massa e volume della batteria (A5.7), termico di piattaforma (celle tiepide, ~10–25 °C indicativo TBC: temperatura interna proposta ~15–20 °C, compatibile con il telescopio, D-100), PCDU e bus (REGULUS a 12 V d'ingresso: compatibilità con 12–16,8 V da verificare con T4i), riscaldatori della batteria (P-24, TBD)</t>
        </is>
      </c>
      <c r="J110" s="47" t="inlineStr">
        <is>
          <t>DR-63</t>
        </is>
      </c>
      <c r="K110" s="47" t="inlineStr">
        <is>
          <t>R-07</t>
        </is>
      </c>
      <c r="L110" s="47" t="inlineStr">
        <is>
          <t>Approvata</t>
        </is>
      </c>
      <c r="M110" s="47" t="n"/>
      <c r="N110" s="47" t="inlineStr">
        <is>
          <t>Chat del 30/10/2026 (A5.6.6); PULSE_EPS/A5.6/dimensionamento_batteria.py</t>
        </is>
      </c>
      <c r="O110" s="47" t="inlineStr">
        <is>
          <t>Fonti: NASA, An Update on the Lithium-Ion Cell LEO Verification Test Program (20/30/40% DoD, &gt; 10.000 cicli); RF Essentials (LEO 20–40% DoD); AAU (GomSpace 18650 2,6 Ah). Rendimento batteria→carichi 0,90 e perdita di capacità 20% a fine vita: stime TBC. Termico di piattaforma ancora senza responsabile (D-038) | 30/10/2026 (D-107 approvata, +1 W): caso peggiore al buio 16,9 Wh ai carichi (18,8 dalla batteria): scarica 21% a fine vita, 31% con una stringa guasta (ancora nella fascia LEO 20–40%); autonomia in detumbling ~4,8 h | 30/10/2026 (A5.6.7): simulazione conferma 20,4% e 30,7%; DR-63 riscritto con D-111</t>
        </is>
      </c>
    </row>
    <row r="111" s="26">
      <c r="A111" s="47" t="inlineStr">
        <is>
          <t>D-110</t>
        </is>
      </c>
      <c r="B111" s="48" t="n">
        <v>46325</v>
      </c>
      <c r="C111" s="47" t="inlineStr">
        <is>
          <t>A5</t>
        </is>
      </c>
      <c r="D111" s="47" t="inlineStr">
        <is>
          <t>Giuseppe</t>
        </is>
      </c>
      <c r="E111" s="47" t="inlineStr">
        <is>
          <t>Termico</t>
        </is>
      </c>
      <c r="F111" s="47" t="inlineStr">
        <is>
          <t>Responsabile del termico di piattaforma (chiude D-038 per la voce termico): Giuseppe segue il termico di tutto il satellite con un modello unico (payload + piattaforma). Giuliano fornisce per i suoi componenti (batteria, motore REGULUS, ruote, computer di bordo, EPS, radio) potenze dissipate per modo, posizioni nel layout e limiti di temperatura. Temperatura interna di progetto ~15–20 °C (TBC, proposta di Giuliano, coerente con la regolazione del telescopio di D-100)</t>
        </is>
      </c>
      <c r="G111" s="47" t="inlineStr">
        <is>
          <t>B: Giuliano responsabile del termico di piattaforma e Giuseppe del solo payload, con interfaccia la temperatura interna (due modelli per un sistema unico; carico di lavoro di Giuliano già alto); C: rimandare alla Fase B (resta un responsabile mancante alla PRR)</t>
        </is>
      </c>
      <c r="H111" s="47" t="inlineStr">
        <is>
          <t>Il termico è un sistema unico: la parte più sensibile è il telescopio (fuoco entro ±11 K, DR-57) e il calore del motore e della batteria lo influenza (D-099). Giuseppe ha già metodo e script (radiatori, riscaldatori, a5_calcoli/p7_*.py) e la parte payload di A5 è chiusa</t>
        </is>
      </c>
      <c r="I111" s="47" t="inlineStr">
        <is>
          <t>Budget M-24 e P-24 (responsabile Giuseppe), riscaldatori della batteria (D-104, valore dal modello termico), layout A5.7 (posizioni e collegamenti termici), A6 (rischi termici), Fase B (modello termico completo)</t>
        </is>
      </c>
      <c r="J111" s="47" t="inlineStr">
        <is>
          <t>DR-57, DR-64</t>
        </is>
      </c>
      <c r="K111" s="47" t="inlineStr">
        <is>
          <t>R-24, R-55</t>
        </is>
      </c>
      <c r="L111" s="47" t="inlineStr">
        <is>
          <t>Approvata</t>
        </is>
      </c>
      <c r="M111" s="47" t="n"/>
      <c r="N111" s="47" t="inlineStr">
        <is>
          <t>Chat del 30/10/2026 (dopo A5.P8)</t>
        </is>
      </c>
      <c r="O111" s="47" t="inlineStr">
        <is>
          <t>Proposta: cambia le responsabilità di D-028/D-038 e riguarda i componenti di Giuliano. Restano aperti in D-038: struttura e meccanismi, computer di bordo, cablaggi | 30/10/2026 Giuliano: approvata. Dati di Giuliano per il modello termico (potenza dissipata per modo e limiti di temperatura) nel report A5.6 (A5.6.8); posizioni in A5.7</t>
        </is>
      </c>
    </row>
    <row r="112" s="26">
      <c r="A112" s="47" t="inlineStr">
        <is>
          <t>D-111</t>
        </is>
      </c>
      <c r="B112" s="48" t="n">
        <v>46325</v>
      </c>
      <c r="C112" s="47" t="inlineStr">
        <is>
          <t>A5</t>
        </is>
      </c>
      <c r="D112" s="47" t="inlineStr">
        <is>
          <t>Giuliano</t>
        </is>
      </c>
      <c r="E112" s="47" t="inlineStr">
        <is>
          <t>Potenza</t>
        </is>
      </c>
      <c r="F112" s="47" t="inlineStr">
        <is>
          <t>Valore di DR-63 riscritto (a): profondità di scarica della batteria ≤ 25% a fine vita e ≤ 35% con una stringa guasta. La simulazione dello stato di carica (A5.6.7, giorno peggiore, fine vita, carichi con margini) dà 20,4% e 30,7%; batteria 4S3P invariata (D-109)</t>
        </is>
      </c>
      <c r="G112" s="47" t="inlineStr">
        <is>
          <t>b: batteria 4S4P (21% con una stringa guasta, +4 celle per un caso di guasto); c: tenere 30% e spegnere carichi in caso di guasto (regola in più)</t>
        </is>
      </c>
      <c r="H112" s="47" t="inlineStr">
        <is>
          <t>Il 30% era un valore tondo scelto da noi (TBC), non un limite fisico; 35% resta nella fascia LEO 20–40% e nelle prove NASA (fino al 40%, oltre 10.000 cicli)</t>
        </is>
      </c>
      <c r="I112" s="47" t="inlineStr">
        <is>
          <t>DR-63, invecchiamento della batteria in caso di guasto (un po' più rapido), prova di cicli in Fase C</t>
        </is>
      </c>
      <c r="J112" s="47" t="inlineStr">
        <is>
          <t>DR-63</t>
        </is>
      </c>
      <c r="K112" s="47" t="inlineStr">
        <is>
          <t>R-07</t>
        </is>
      </c>
      <c r="L112" s="47" t="inlineStr">
        <is>
          <t>Approvata</t>
        </is>
      </c>
      <c r="M112" s="47" t="n"/>
      <c r="N112" s="47" t="inlineStr">
        <is>
          <t>Chat del 30/10/2026 (A5.6.7); PULSE_EPS/A5.6/simulazione_soc.py</t>
        </is>
      </c>
      <c r="O112" s="47" t="inlineStr">
        <is>
          <t>Simulazione: 3 giorni, passo 20 s, giorno 150 (fine maggio 2026, rollio 32°, k 0,573), 6 ali a fine vita, batteria all'80% (89,8 Wh; 59,9 Wh con 2 stringhe). Routine: SoC minimo 79,6%, avanzo 136 Wh/giorno; emergenza 79,6%; stringa guasta 69,3%; safe 84,0%. Numerata D-111 perché D-110 era già usata da Giuseppe</t>
        </is>
      </c>
    </row>
    <row r="113" s="26">
      <c r="A113" s="47" t="inlineStr">
        <is>
          <t>D-112</t>
        </is>
      </c>
      <c r="B113" s="48" t="n">
        <v>46325</v>
      </c>
      <c r="C113" s="47" t="inlineStr">
        <is>
          <t>A5</t>
        </is>
      </c>
      <c r="D113" s="47" t="inlineStr">
        <is>
          <t>Giuliano</t>
        </is>
      </c>
      <c r="E113" s="47" t="inlineStr">
        <is>
          <t>Potenza</t>
        </is>
      </c>
      <c r="F113" s="47" t="inlineStr">
        <is>
          <t>Regola di bordo per proteggere la batteria (A): il motore parte solo se lo stato di carica è ≥ 90% e si spegne se scende sotto l'80%; la spinta programmata che non parte si recupera nelle orbite successive. Gestione a più livelli (sotto il 70% stop alle riprese, sotto il 50% safe, valori TBD) come requisito per la Fase C (C)</t>
        </is>
      </c>
      <c r="G113" s="47" t="inlineStr">
        <is>
          <t>B: nessuna regola automatica, pianificazione solo da terra (un errore può svuotare la batteria); C subito: regola completa a più livelli (rimandata alla Fase C, FDIR)</t>
        </is>
      </c>
      <c r="H113" s="47" t="inlineStr">
        <is>
          <t>Con Sole alto e 7,8 h di spinta programmate la batteria si svuota in meno di un giorno (deficit ~109 Wh/giorno); con la regola la spinta si riduce da sola a ~5,6 h/giorno, SoC minimo 73%. In routine la regola non toglie spinta (4,2 h, SoC minimo 79,6%: le scariche sono al buio, la spinta a metà luce a batteria quasi piena)</t>
        </is>
      </c>
      <c r="I113" s="47" t="inlineStr">
        <is>
          <t>Software di bordo (gestione motore e batteria), FDIR (Fase C), operazioni con Sole alto (R-56: quota mantenuta solo in parte), piano di spinta</t>
        </is>
      </c>
      <c r="J113" s="47" t="inlineStr">
        <is>
          <t>DR-65, DR-66</t>
        </is>
      </c>
      <c r="K113" s="47" t="inlineStr">
        <is>
          <t>R-56, R-07</t>
        </is>
      </c>
      <c r="L113" s="47" t="inlineStr">
        <is>
          <t>Approvata</t>
        </is>
      </c>
      <c r="M113" s="47" t="n"/>
      <c r="N113" s="47" t="inlineStr">
        <is>
          <t>Chat del 30/10/2026 (A5.6.7); PULSE_EPS/A5.6/simulazione_soc.py</t>
        </is>
      </c>
      <c r="O113" s="47" t="inlineStr">
        <is>
          <t>Valori 90/80% sopra il minimo della routine (79,6% al buio, quando il motore è comunque spento per D-105)</t>
        </is>
      </c>
    </row>
    <row r="114" s="26">
      <c r="A114" s="47" t="inlineStr">
        <is>
          <t>D-113</t>
        </is>
      </c>
      <c r="B114" s="48" t="n">
        <v>46325</v>
      </c>
      <c r="C114" s="47" t="inlineStr">
        <is>
          <t>A5</t>
        </is>
      </c>
      <c r="D114" s="47" t="inlineStr">
        <is>
          <t>Giuliano</t>
        </is>
      </c>
      <c r="E114" s="47" t="inlineStr">
        <is>
          <t>Gestione</t>
        </is>
      </c>
      <c r="F114" s="47" t="inlineStr">
        <is>
          <t>Responsabili delle voci di piattaforma rimaste aperte in D-038 (R1): struttura e meccanismi (telaio, apertura delle ali, sganci), computer di bordo di piattaforma e cablaggi a Giuliano. L'interfaccia tra computer di bordo e scheda payload (comandi, coda dati D-092) resta in comune con Giuseppe. Con D-087 (EPS) e D-110 (termico) chiude D-038</t>
        </is>
      </c>
      <c r="G114" s="47" t="inlineStr">
        <is>
          <t>R2: computer di bordo a Giuseppe e cablaggi in comune (Giuseppe segue già il termico di tutto il satellite, D-110); R3: computer di bordo diviso, hardware a Giuliano e software/dati a Giuseppe (una voce con due responsabili)</t>
        </is>
      </c>
      <c r="H114" s="47" t="inlineStr">
        <is>
          <t>In Fase A struttura, meccanismi e cablaggi sono scelte geometriche che stanno dentro il layout (A5.7, Giuliano); i cablaggi sono una quota del 5% della massa (D-035); il computer di bordo fa girare ADCS, FDIR e gestione della spinta e ha già un valore provvisorio scelto da Giuliano (D-104)</t>
        </is>
      </c>
      <c r="I114" s="47" t="inlineStr">
        <is>
          <t>D-028, D-038; file dei budget (responsabile di M-17, M-21, M-22, M-25, P-17, P-21, P-22, V-06); A5.7.2 (lista componenti); Fase B (interfaccia computer di bordo – scheda payload)</t>
        </is>
      </c>
      <c r="J114" s="47" t="inlineStr">
        <is>
          <t>DR-14</t>
        </is>
      </c>
      <c r="K114" s="47" t="n"/>
      <c r="L114" s="47" t="inlineStr">
        <is>
          <t>Approvata</t>
        </is>
      </c>
      <c r="M114" s="47" t="n"/>
      <c r="N114" s="47" t="inlineStr">
        <is>
          <t>Chat del 30/10/2026 (A5.7.1)</t>
        </is>
      </c>
      <c r="O114" s="47" t="inlineStr">
        <is>
          <t>Proposta: cambia la divisione del lavoro in comune (D-028/D-038), da approvare da Giuseppe. Nel file dei budget i responsabili restano TBC fino all'approvazione | 31/10/2026 Giuseppe: approvata</t>
        </is>
      </c>
    </row>
    <row r="115" s="26">
      <c r="A115" s="47" t="inlineStr">
        <is>
          <t>D-114</t>
        </is>
      </c>
      <c r="B115" s="48" t="n">
        <v>46325</v>
      </c>
      <c r="C115" s="47" t="inlineStr">
        <is>
          <t>A5</t>
        </is>
      </c>
      <c r="D115" s="47" t="inlineStr">
        <is>
          <t>Giuliano</t>
        </is>
      </c>
      <c r="E115" s="47" t="inlineStr">
        <is>
          <t>Struttura</t>
        </is>
      </c>
      <c r="F115" s="47" t="inlineStr">
        <is>
          <t>Sistema di riferimento del satellite (S2) per layout, baricentro e inerzie: origine nel centro geometrico dell'involucro tra i binari (226,3 × 226,3 × 454 mm); +X verso la velocità (direzione di spinta, ugello della REGULUS sulla faccia −X); +Y normale all'orbita verso il lato del Sole (β &gt; 0; faccia −Y dei radiatori, D-095); +Z verso lo zenit lungo l'asse lungo (il telescopio guarda verso −Z). In assetto nominale coincide con il riferimento orbitale di A5.6. Conversione dai dati del payload: Z = Z dalla faccia a nadir − 227 mm, X e Y invariati</t>
        </is>
      </c>
      <c r="G115" s="47" t="inlineStr">
        <is>
          <t>S1: origine al centro della faccia a nadir, come il CSV del payload (ogni verifica di DR-14 da convertire); S3: centro geometrico con +Z nadir e +Y dal lato opposto al Sole, come A5.3 (inverte i segni di Y e Z rispetto ad A5.6 e al payload)</t>
        </is>
      </c>
      <c r="H115" s="47" t="inlineStr">
        <is>
          <t>DR-14 (limiti del deployer rispetto al centro geometrico) e D-047 si verificano direttamente; inerzie già attorno al centro; assi uguali a quelli di A5.6 e del payload di Giuseppe, quindi nessun cambio di segno</t>
        </is>
      </c>
      <c r="I115" s="47" t="inlineStr">
        <is>
          <t>A5.7.4–A5.7.8 (layout, baricentro, inerzie); dati del payload (PULSE_payload_masse_posizioni.csv: baricentro del payload a Z +49,5 mm, Y −28,9 mm); simulazione a 3 assi della Fase B (A5.3 usava Z a nadir, modello a un asse: nessun numero da rifare)</t>
        </is>
      </c>
      <c r="J115" s="47" t="inlineStr">
        <is>
          <t>DR-14, DR-21</t>
        </is>
      </c>
      <c r="K115" s="47" t="inlineStr">
        <is>
          <t>R-26</t>
        </is>
      </c>
      <c r="L115" s="47" t="inlineStr">
        <is>
          <t>Approvata</t>
        </is>
      </c>
      <c r="M115" s="47" t="n"/>
      <c r="N115" s="47" t="inlineStr">
        <is>
          <t>Chat del 30/10/2026 (A5.7.1)</t>
        </is>
      </c>
      <c r="O115" s="47" t="inlineStr">
        <is>
          <t>Proposta: cambia l'origine (non i valori) dei dati di Giuseppe. Le facce si chiamano ±X, ±Y, ±Z. Il collegamento con il riferimento del deployer si fa in Fase B con la scelta del lancio (LR-01) | 31/10/2026 Giuseppe: approvata</t>
        </is>
      </c>
    </row>
    <row r="116" s="26">
      <c r="A116" s="47" t="inlineStr">
        <is>
          <t>D-115</t>
        </is>
      </c>
      <c r="B116" s="48" t="n">
        <v>46325</v>
      </c>
      <c r="C116" s="47" t="inlineStr">
        <is>
          <t>A5</t>
        </is>
      </c>
      <c r="D116" s="47" t="inlineStr">
        <is>
          <t>Giuseppe</t>
        </is>
      </c>
      <c r="E116" s="47" t="inlineStr">
        <is>
          <t>Termico</t>
        </is>
      </c>
      <c r="F116" s="47" t="inlineStr">
        <is>
          <t>Casi di progetto del termico del satellite (A5.8.1). Caldo: gennaio, Sole 1414 W/m², albedo 0,35, IR Terra 261 W/m², eclisse 34,7 min, vernici a fine vita (α 0,35), 22 min di spinta in ogni orbita (verifica a 29 min), riprese e scarichi, rollio 31–52°. Freddo operativo: giugno-luglio, Sole 1322 W/m², albedo 0,18, IR 218 W/m², eclisse 36,0 min, vernici nuove (α 0,20), giorno senza spinta (attesa). Freddo safe: safe per più giorni, ali verso il Sole. Detumbling con ali chiuse ≤ ~4,8 h (caso particolare). Calore del REGULUS che entra nel satellite: 15 W in spinta (8–20 W, TBC), con verifica a 48,5 W</t>
        </is>
      </c>
      <c r="G116" s="47" t="inlineStr">
        <is>
          <t>Calore del motore: 48,5 W tutti dentro il satellite (radiatore quasi doppio, più riscaldatori al freddo); 20 W (limite alto della stima). Caso caldo: spinta in ogni periodo di luce o 7,8 h di fila (superati dal profilo di A5.6.7, spinta distribuita su tutte le orbite)</t>
        </is>
      </c>
      <c r="H116" s="47" t="inlineStr">
        <is>
          <t>Il REGULUS produce ~48,5 W di calore (rendimento di spinta 3%), ma la parte calda (~355 °C) lo smaltisce nello spazio con un radiatore sulla faccia dell'ugello a ~275 °C (Bellomo et al., CEAS Space J. 2022): 29–40 W stimati; al satellite passa la parte fredda (elettronica, linea dello iodio). Profilo di spinta e casi freddi da Giuliano (A5.6.7, chat del 30/10/2026). Albedo e IR: valori tipici per orbite molto inclinate (Gilmore), TBC</t>
        </is>
      </c>
      <c r="I116" s="47" t="inlineStr">
        <is>
          <t>Dimensionamento del radiatore di piattaforma e dei riscaldatori (A5.8.3–A5.8.4), budget P-24 e M-24, verifica in A5.7.1 di Giuliano (W dall'attacco del REGULUS, ugello su −X, preriscaldamento e raffreddamento)</t>
        </is>
      </c>
      <c r="J116" s="47" t="inlineStr">
        <is>
          <t>DR-64, DR-57</t>
        </is>
      </c>
      <c r="K116" s="47" t="inlineStr">
        <is>
          <t>R-57</t>
        </is>
      </c>
      <c r="L116" s="47" t="inlineStr">
        <is>
          <t>Approvata</t>
        </is>
      </c>
      <c r="M116" s="47" t="n"/>
      <c r="N116" s="47" t="inlineStr">
        <is>
          <t>Chat del 30/10/2026 (A5.8.1); a5_8_termico/a5_8_1_ingressi.py</t>
        </is>
      </c>
      <c r="O116" s="47" t="inlineStr">
        <is>
          <t>Valore del motore concordato con Giuliano (resta TBC fino ad A5.7.1). Calore all'interno per modo con motore 15 W: attesa 21,4; ripresa diurna 26,4; notturna 21,4; spinta 39,4; scarico 35,1; safe 24,4; detumbling 19,4 W (con perdite EPS e batteria di A5.6.7) | 31/10/2026 (A5.7.3, D-117): W dall'attacco del REGULUS non pubblicati, 15 W restano TBC; attacco 73–75 °C con satellite a +70 °C; ugello e radiatore del motore sulla faccia −X; ambiente richiesto −25/+70 °C; PSH/PSC esistono (EarthNext) ma senza durate e potenze pubbliche (R-59). L'articolo di Bellomo et al. è del 2021</t>
        </is>
      </c>
    </row>
    <row r="117" s="26">
      <c r="A117" s="47" t="inlineStr">
        <is>
          <t>D-116</t>
        </is>
      </c>
      <c r="B117" s="48" t="n">
        <v>46325</v>
      </c>
      <c r="C117" s="47" t="inlineStr">
        <is>
          <t>A5</t>
        </is>
      </c>
      <c r="D117" s="47" t="inlineStr">
        <is>
          <t>Giuseppe</t>
        </is>
      </c>
      <c r="E117" s="47" t="inlineStr">
        <is>
          <t>Termico</t>
        </is>
      </c>
      <c r="F117" s="47" t="inlineStr">
        <is>
          <t>Architettura termica della piattaforma (A2): corpo coperto da coperte isolanti (MLI), radiatore fisso con vernice bianca sulla faccia −Y (~810 cm², ~970 con +20% di calore, TBC, accanto ai radiatori del payload di D-095), riscaldatori con termostato (batteria e interno). Interno ammesso 15–25 °C (DR-64 allargato da 15–20). Radiatore a persiane (louver) come riserva se l'energia dei riscaldatori non chiude il bilancio (A5.8.4)</t>
        </is>
      </c>
      <c r="G117" s="47" t="inlineStr">
        <is>
          <t>A: stessa architettura con interno 15–20 °C (radiatore ~890/1070 cm², non entra sulla sola −Y con il margine; riscaldatori ~7 W in un giorno di routine d'estate, ~180 Wh/giorno, oltre l'avanzo di 136 Wh/giorno di D-111). B: radiatore a persiane (~1080 cm², riscaldatori ~0 W, +0,3 kg, poche prove su CubeSat). C: pareti che irradiano senza MLI (escursione interna ~32 K, non rispetta DR-64)</t>
        </is>
      </c>
      <c r="H117" s="47" t="inlineStr">
        <is>
          <t>Soluzione più collaudata; +5 K in alto costano poco (batteria in carica fino a +45 °C; telescopio regolato a ~20 °C ± 11 K, DR-57) e riducono area e riscaldatori (stima di primo ordine a un nodo: routine d'estate ~5 W, ~120 Wh/giorno; giorno senza spinta ~11 W; safe ~9 W). La −Y è l'unica faccia buona: +Y vede il Sole, +Z ha celle e star tracker, +X ha l'ossigeno atomico, −X il radiatore caldo dell'ugello</t>
        </is>
      </c>
      <c r="I117" s="47" t="inlineStr">
        <is>
          <t>Bilancio di potenza (P-24, Giuliano: energia dei riscaldatori contro l'avanzo di D-111), layout A5.7 (area libera sulla −Y ~837 cm²; eventuale parte su −X), batteria (D-109: 15–25 °C), telescopio (D-100), budget M-24</t>
        </is>
      </c>
      <c r="J117" s="47" t="inlineStr">
        <is>
          <t>DR-64, DR-57, DR-68</t>
        </is>
      </c>
      <c r="K117" s="47" t="inlineStr">
        <is>
          <t>R-58, R-57</t>
        </is>
      </c>
      <c r="L117" s="47" t="inlineStr">
        <is>
          <t>Approvata</t>
        </is>
      </c>
      <c r="M117" s="47" t="n"/>
      <c r="N117" s="47" t="inlineStr">
        <is>
          <t>Chat del 30/10/2026 (A5.8.2); a5_8_termico/a5_8_2_architettura.py</t>
        </is>
      </c>
      <c r="O117" s="47" t="inlineStr">
        <is>
          <t>Proposta: cambia DR-64 (valore proposto da Giuliano) e porta P-24 nel suo bilancio di potenza. Numeri da affinare con il modello a nodi (A5.8.3): nel caso freddo vernici nuove anche a fine vita (prudente) | 31/10/2026 Giuliano: approvata (A) con un tetto di potenza: riscaldatori di piattaforma ≤ 4 W medi al bus, margini compresi (≈ 2,8 W nominali), nel giorno peggiore di routine (DR-68). Verifica sul modello A5.6.7 con la regola D-112 (PULSE_Layout/A5.7/riscaldatori_potenza.py): spinta sostenibile 4,4 h con 4 W, 4,3 h con 4,4 W (limite), 4,0 h con 5 W e 3,0 h con 7,2 W (5 W con margini), contro 4,2 h necessarie. L'avanzo di 136 Wh/giorno (D-111) non è usabile tutto: è energia in luce a batteria piena, i riscaldatori lavorano anche al buio. Casi freddi ok (senza spinta 11 W: SoC min 66%; safe 9 W: 76%). Se A5.8.3 non sta nel tetto: radiatore a persiane. Layout: −Y libera ~837 cm² (basta per 810, non per 970); su −X ugello e radiatore del REGULUS al centro (D-118): eventuale parte di radiatore lontano da lì; ali chiuse né su −Y né al centro di −X (A5.7.5)</t>
        </is>
      </c>
    </row>
    <row r="118" s="26">
      <c r="A118" s="47" t="inlineStr">
        <is>
          <t>D-117</t>
        </is>
      </c>
      <c r="B118" s="48" t="n">
        <v>46326</v>
      </c>
      <c r="C118" s="47" t="inlineStr">
        <is>
          <t>A5</t>
        </is>
      </c>
      <c r="D118" s="47" t="inlineStr">
        <is>
          <t>Giuliano</t>
        </is>
      </c>
      <c r="E118" s="47" t="inlineStr">
        <is>
          <t>Propulsione</t>
        </is>
      </c>
      <c r="F118" s="47" t="inlineStr">
        <is>
          <t>Modello di riferimento della REGULUS-50-I2 Large per layout e termico (M2): due blocchi separati collegati dalla linea dello iodio, (1) motore + elettronica con ugello e radiatore sulla stessa faccia, (2) serbatoio dello iodio; sezione ~94 × 95 mm come la famiglia REGULUS, 2,2U e ~6 kg in tutto; profondità dei due blocchi TBC (ICD T4i). Iodio a bordo 2,04 kg (11.000 N·s / 550 s). Dati termici pubblici: caso caldo con satellite a +70 °C camera 351–355 °C, radiatore 273–279 °C, elettronica 87–90 °C (limite 85 °C), linea dello iodio 84–92 °C (~95 °C in funzione, &lt; 115 °C), attacco 73–75 °C; ambiente richiesto attorno all'unità −25/+70 °C (prova −40/+80 °C). W che passano dall'attacco e durate/potenze di preriscaldamento e raffreddamento (PSH/PSC/PSTM) non pubblicati</t>
        </is>
      </c>
      <c r="G118" s="47" t="inlineStr">
        <is>
          <t>M1: blocco unico 93,8 × 95 × 250 mm (valore prudente di V-01: forma sbagliata, impedisce di mettere il serbatoio vicino alla linea di spinta); M3: fermarsi fino all'ICD di T4i (blocca A5.7.4 e il termico A5.8)</t>
        </is>
      </c>
      <c r="H118" s="47" t="inlineStr">
        <is>
          <t>La foto e la tabella di EarthNext (Fig. 7, Tab. 3: stessa unità) mostrano due blocchi; il datasheet T4i dà 93,8 × 95 × 151 mm e 2,5 kg solo per la versione da 3.000 N·s; i dati termici vengono da Bellomo et al. (CEAS Space J., 2021). Due blocchi permettono di separare il motore (vincolato alla faccia −X e alla linea di spinta) dal serbatoio (che sposta il baricentro con il consumo)</t>
        </is>
      </c>
      <c r="I118" s="47" t="inlineStr">
        <is>
          <t>V-01 (budget di volume), layout A5.7.4 (blocco motore su −X, serbatoio vicino alla linea di spinta, DR-67), baricentro A5.7.7, termico (D-115, R-57: ugello e radiatore su −X, 15 W dall'attacco restano TBC), bilancio di potenza se PSH/PSC pesano (R-59), richiesta ICD a T4i</t>
        </is>
      </c>
      <c r="J118" s="47" t="inlineStr">
        <is>
          <t>DR-21, DR-67</t>
        </is>
      </c>
      <c r="K118" s="47" t="inlineStr">
        <is>
          <t>R-57, R-59</t>
        </is>
      </c>
      <c r="L118" s="47" t="inlineStr">
        <is>
          <t>Approvata</t>
        </is>
      </c>
      <c r="M118" s="47" t="n"/>
      <c r="N118" s="47" t="inlineStr">
        <is>
          <t>Chat del 31/10/2026 (A5.7.3); PULSE_Layout/A5.7/regulus_vincoli.py; t4innovation.com (REGULUS-50-I2); Bellomo et al., CEAS Space J. 2021, doi 10.1007/s12567-021-00374-4; EarthNext §3.2, §4.1</t>
        </is>
      </c>
      <c r="O118" s="47" t="inlineStr">
        <is>
          <t>Riguarda solo la parte di Giuliano (propulsione); al termico di Giuseppe passano solo dati (nessun suo valore cambia). Da chiedere a T4i: profondità dei due blocchi, posizione dell'attacco, W e temperatura all'attacco, PSH/PSC/PSTM (durata e potenza), accensioni brevi ripetute (16 al giorno da ~17 min)</t>
        </is>
      </c>
    </row>
    <row r="119" s="26">
      <c r="A119" s="47" t="inlineStr">
        <is>
          <t>D-118</t>
        </is>
      </c>
      <c r="B119" s="48" t="n">
        <v>46326</v>
      </c>
      <c r="C119" s="47" t="inlineStr">
        <is>
          <t>A5</t>
        </is>
      </c>
      <c r="D119" s="47" t="inlineStr">
        <is>
          <t>Giuliano</t>
        </is>
      </c>
      <c r="E119" s="47" t="inlineStr">
        <is>
          <t>Struttura</t>
        </is>
      </c>
      <c r="F119" s="47" t="inlineStr">
        <is>
          <t>Posizione del telescopio (P1): colonna 140 × 140 mm nell'angolo +X/−Y della faccia a nadir (asse a X +43 mm, Y −43 mm nel sistema D-114) invece che centrata in X (D-078). Tra la faccia −X e il telescopio resta una fetta di ~86 mm (~126 mm con la sporgenza di 39,5 mm; pareti e telaio esclusi, TBC) per il blocco motore della REGULUS con l'ugello al centro della faccia −X; serbatoio dello iodio nella zona +Y entro ~70 mm dalla linea di spinta (DR-67). La scheda payload (D-091) segue i sensori in X. Sulla faccia a nadir la parte libera diventa a L (striscia +Y come oggi + striscia −X); patch S a nadir (D-080) invariata</t>
        </is>
      </c>
      <c r="G119" s="47" t="inlineStr">
        <is>
          <t>P2: telescopio fermo e motore sporgente da −X (entra solo con blocco motore ≤ ~80 mm di profondità; sporgenza in conflitto con ali e radiatori); P3: asse lungo lungo la velocità come EarthNext (rifà D-043, A5.3–A5.6 e l'ottica); P4: altro motore (riapre D-034 e il ΔV)</t>
        </is>
      </c>
      <c r="H119" s="47" t="inlineStr">
        <is>
          <t>Con il telescopio centrato in X il centro del satellite (e quindi il baricentro, D-047 ≤ 10 mm dalla linea di spinta) cade dentro la colonna: tra la faccia −X e il telescopio restano 43 mm (83 con la sporgenza), troppo pochi per un blocco motore (151 mm nella versione piccola). P1 è l'unica modifica locale. Lo spostamento del baricentro del payload in X (+4,3 mm su 30 kg) non crea coppia in spinta (la spinta è lungo X) e resta dentro DR-14</t>
        </is>
      </c>
      <c r="I119" s="47" t="inlineStr">
        <is>
          <t>D-078 (Giuseppe: posizione in X del telescopio), faccia a nadir (apertura e striscia libera), scheda payload (D-091: X +43 mm), cablaggi dei sensori, baricentro e inerzie (A5.7.7–A5.7.8), termico del telescopio (più vicino alla faccia +X); radiatori su −Y (D-095, D-116) invariati</t>
        </is>
      </c>
      <c r="J119" s="47" t="inlineStr">
        <is>
          <t>DR-14, DR-21, DR-67</t>
        </is>
      </c>
      <c r="K119" s="47" t="inlineStr">
        <is>
          <t>R-26, R-01</t>
        </is>
      </c>
      <c r="L119" s="47" t="inlineStr">
        <is>
          <t>Approvata</t>
        </is>
      </c>
      <c r="M119" s="47" t="n"/>
      <c r="N119" s="47" t="inlineStr">
        <is>
          <t>Chat del 31/10/2026 (A5.7.3); PULSE_Layout/A5.7/regulus_vincoli.py</t>
        </is>
      </c>
      <c r="O119" s="47" t="inlineStr">
        <is>
          <t>Proposta: cambia D-078 di Giuseppe. Se il blocco motore della Large è più profondo di ~126 mm (ICD T4i) non basta: si passa a P4. Con l'approvazione D-078 diventa Superata da D-118 | 31/10/2026 Giuseppe: approvata</t>
        </is>
      </c>
    </row>
    <row r="120" s="26">
      <c r="A120" s="47" t="inlineStr">
        <is>
          <t>D-119</t>
        </is>
      </c>
      <c r="B120" s="48" t="n">
        <v>46326</v>
      </c>
      <c r="C120" s="47" t="inlineStr">
        <is>
          <t>A5</t>
        </is>
      </c>
      <c r="D120" s="47" t="inlineStr">
        <is>
          <t>Giuliano</t>
        </is>
      </c>
      <c r="E120" s="47" t="inlineStr">
        <is>
          <t>Potenza</t>
        </is>
      </c>
      <c r="F120" s="47" t="inlineStr">
        <is>
          <t>Modello di massa delle ali solari (S1): ali 226 × 454 mm su substrato a circuito stampato (FR4) o alluminio come i prodotti a catalogo, ~0,55 kg per ala con celle (5,0–5,5 kg/m² × 0,103 m²), spessore ~2 mm; 6 ali 3,3 kg (8 ali 4,4 kg), margine 10%</t>
        </is>
      </c>
      <c r="G120" s="47" t="inlineStr">
        <is>
          <t>S2: sandwich alveolare con pelli in carbonio, ~0,30 kg per ala (stima dal basso, nessun prodotto CubeSat trovato), ~6 mm di spessore, meno eredità di volo e costo più alto</t>
        </is>
      </c>
      <c r="H120" s="47" t="inlineStr">
        <is>
          <t>Tecnologia con molti voli e numero prudente; pannello sottile utile per lo stivaggio nei 39,5 mm (D-036, A5.7.5); la massa non è critica (stima ~28 kg al rilascio con margini contro 32 kg, A5.7.2)</t>
        </is>
      </c>
      <c r="I120" s="47" t="inlineStr">
        <is>
          <t>Budget di massa M-18, stivaggio (A5.7.5), inerzie con ali aperte (A5.7.8), meccanismi (M-22)</t>
        </is>
      </c>
      <c r="J120" s="47" t="inlineStr">
        <is>
          <t>MR-13</t>
        </is>
      </c>
      <c r="K120" s="47" t="inlineStr">
        <is>
          <t>R-56</t>
        </is>
      </c>
      <c r="L120" s="47" t="inlineStr">
        <is>
          <t>Approvata</t>
        </is>
      </c>
      <c r="M120" s="47" t="n"/>
      <c r="N120" s="47" t="inlineStr">
        <is>
          <t>Chat del 31/10/2026 (A5.7.2); AAC Clyde Photon (3U 135 g, FR4), ISIS Solar Panels (3U 150 g, alluminio); PULSE_Layout/A5.7/componenti_piattaforma.py</t>
        </is>
      </c>
      <c r="O120" s="47" t="inlineStr">
        <is>
          <t>S2 resta riserva di massa (~1,5 kg su 6 ali) se la massa cresce in Fase B</t>
        </is>
      </c>
    </row>
    <row r="121" s="26">
      <c r="A121" s="47" t="inlineStr">
        <is>
          <t>D-120</t>
        </is>
      </c>
      <c r="B121" s="48" t="n">
        <v>46326</v>
      </c>
      <c r="C121" s="47" t="inlineStr">
        <is>
          <t>A5</t>
        </is>
      </c>
      <c r="D121" s="47" t="inlineStr">
        <is>
          <t>Giuliano</t>
        </is>
      </c>
      <c r="E121" s="47" t="inlineStr">
        <is>
          <t>Struttura</t>
        </is>
      </c>
      <c r="F121" s="47" t="inlineStr">
        <is>
          <t>Telaio di riferimento (T1): classe EnduroSat 16U, alluminio 6082, 226,3 × 226,3 × 454 mm, 2,5 kg con viti e anelli; margine 10% (catalogo modificato: attacchi per ali, motore e radiatore)</t>
        </is>
      </c>
      <c r="G121" s="47" t="inlineStr">
        <is>
          <t>T2: ISIS 16U 2,25 kg a secco (dimensioni e viteria non pubblicate); T3: telaio su misura (tutto da progettare, Fase B)</t>
        </is>
      </c>
      <c r="H121" s="47" t="inlineStr">
        <is>
          <t>Dimensioni identiche all'involucro di D-036; massa pubblicata con la viteria, quindi prudente</t>
        </is>
      </c>
      <c r="I121" s="47" t="inlineStr">
        <is>
          <t>Budget di massa M-21, layout (A5.7.4), baricentro e inerzie (A5.7.7–A5.7.8)</t>
        </is>
      </c>
      <c r="J121" s="47" t="inlineStr">
        <is>
          <t>MR-13, DR-14</t>
        </is>
      </c>
      <c r="K121" s="47" t="n"/>
      <c r="L121" s="47" t="inlineStr">
        <is>
          <t>Approvata</t>
        </is>
      </c>
      <c r="M121" s="47" t="n"/>
      <c r="N121" s="47" t="inlineStr">
        <is>
          <t>Chat del 31/10/2026 (A5.7.2); endurosat.com (16U Structure); satcatalog (ISIS 16U)</t>
        </is>
      </c>
      <c r="O121" s="47" t="inlineStr">
        <is>
          <t>Struttura a Giuliano secondo D-113 (Proposta, in attesa di Giuseppe): non cambia numeri di Giuseppe</t>
        </is>
      </c>
    </row>
    <row r="122" s="26">
      <c r="A122" s="47" t="inlineStr">
        <is>
          <t>D-121</t>
        </is>
      </c>
      <c r="B122" s="48" t="n">
        <v>46326</v>
      </c>
      <c r="C122" s="47" t="inlineStr">
        <is>
          <t>A5</t>
        </is>
      </c>
      <c r="D122" s="47" t="inlineStr">
        <is>
          <t>Giuliano</t>
        </is>
      </c>
      <c r="E122" s="47" t="inlineStr">
        <is>
          <t>Potenza</t>
        </is>
      </c>
      <c r="F122" s="47" t="inlineStr">
        <is>
          <t>Valori di riferimento di massa e ingombro per le voci di piattaforma senza scelta aperta: computer di bordo classe ISIS iOBC 0,10 kg (96 × 90 × 12,4 mm, −25/+65 °C); batteria 4S3P 0,75 kg (~93 × 86 × 62 mm, stima da GomSpace BPX); PCDU classe GomSpace P60 con 2 ACU e 2 PDU 0,28 kg (92 × 89 × 29 mm, −35/+85 °C); meccanismi delle ali ~60 g per ala (stima, TBC). Limiti di temperatura di tutti i componenti di Giuliano in PULSE_Layout/A5.7/risultati/componenti_piattaforma.csv per il termico (D-110)</t>
        </is>
      </c>
      <c r="G122" s="47" t="inlineStr">
        <is>
          <t>Batteria commerciale GomSpace BPX 4S2P 100 Wh (500 g): con una stringa guasta resta il 50% della capacità, non rispetta DR-63</t>
        </is>
      </c>
      <c r="H122" s="47" t="inlineStr">
        <is>
          <t>Stessi prodotti di classe di D-104 e D-109; valori da datasheet dove ci sono, stime dichiarate dove mancano</t>
        </is>
      </c>
      <c r="I122" s="47" t="inlineStr">
        <is>
          <t>Budget di massa (M-17, M-19, M-20, M-22) e volume (V-06, V-07), layout (A5.7.4), termico di Giuseppe (limiti di temperatura)</t>
        </is>
      </c>
      <c r="J122" s="47" t="inlineStr">
        <is>
          <t>DR-63, DR-64</t>
        </is>
      </c>
      <c r="K122" s="47" t="n"/>
      <c r="L122" s="47" t="inlineStr">
        <is>
          <t>Provvisoria</t>
        </is>
      </c>
      <c r="M122" s="47" t="n"/>
      <c r="N122" s="47" t="inlineStr">
        <is>
          <t>Chat del 31/10/2026 (A5.7.2); ISIS iOBC brochure; GomSpace P60 e BPX datasheet</t>
        </is>
      </c>
      <c r="O122" s="47" t="inlineStr">
        <is>
          <t>Provvisoria fino alla scelta dei prodotti (Fase B). Limiti più stretti: radio VHF/UHF −10/+45 °C, carica batteria 0/+45 °C, star tracker +50 °C. Computer di bordo e meccanismi a Giuliano secondo D-113 (Proposta)</t>
        </is>
      </c>
    </row>
    <row r="123" s="26">
      <c r="A123" s="47" t="inlineStr">
        <is>
          <t>D-122</t>
        </is>
      </c>
      <c r="B123" s="48" t="n">
        <v>46326</v>
      </c>
      <c r="C123" s="47" t="inlineStr">
        <is>
          <t>A5</t>
        </is>
      </c>
      <c r="D123" s="47" t="inlineStr">
        <is>
          <t>Giuseppe</t>
        </is>
      </c>
      <c r="E123" s="47" t="inlineStr">
        <is>
          <t>Termico</t>
        </is>
      </c>
      <c r="F123" s="47" t="inlineStr">
        <is>
          <t>Radiatore della piattaforma sulla faccia −Y: 600 cm² (TBC), vernice bianca (α ≤ 0,35 a fine vita, ε ≥ 0,85), collegato all'interno con ~3 W/K (≥ 2 W/K: elettronica montata sul pannello del radiatore o cinghie termiche). Riscaldatori con termostato a 15 °C sull'interno (installati ~2 × 10 W, TBC) e sulla batteria (6 W, riserva per safe e detumbling). Attacchi delle ali isolati (≤ 0,1 W/K in tutto, DR-69). Budget: P-24 = 0,7 W nelle riprese, spinta e scarico (media del giorno peggiore di routine) e 5,7 W in riposo/safe (giorno senza spinta, il caso più freddo); M-24 = 0,45 kg</t>
        </is>
      </c>
      <c r="G123" s="47" t="inlineStr">
        <is>
          <t>550 cm² (con il motore a 20 W l'interno arriva a ~27 °C, oltre DR-64); 700 cm² (riscaldatori 3,7 W nominali nella routine d'estate, oltre DR-68); 500 cm² (caldo fino a 27 °C); 810 cm² della stima a un nodo di A5.8.2 (troppo grande: l'interno resterebbe freddo)</t>
        </is>
      </c>
      <c r="H123" s="47" t="inlineStr">
        <is>
          <t>Modello a 9 nodi (A5.8.3, 4 giorni, passo 10 s, Sole e ombra da GMAT/A5.6, rollio D-106): caldo 18,8–23,6 °C (motore a 20 W: fino a 25,7 °C, appena sopra DR-64; con collegamento a 6 W/K 24,4 °C); routine d'estate 0,7 W di riscaldatori (17 Wh/giorno) contro il tetto di 2,8 W di DR-68; giorno senza spinta 5,7 W medi (137 Wh/giorno, picco 15 W) contro 11 W che chiudono; safe 0,4 W. Batteria 15–25 °C senza riscaldatore dedicato. Il calore esce anche da MLI (~2 W), ali (~3 W) e radiatori del payload (~1,6 W)</t>
        </is>
      </c>
      <c r="I123" s="47" t="inlineStr">
        <is>
          <t>Bilancio di potenza P-24 (Giuliano: sostituisce l'allocazione 2,8/9 W), budget M-24, layout A5.7 (600 cm² sulla −Y accanto ai radiatori del payload; elettronica sul pannello del radiatore), struttura (attacchi delle ali isolati, DR-69), R-58</t>
        </is>
      </c>
      <c r="J123" s="47" t="inlineStr">
        <is>
          <t>DR-64, DR-68, DR-69, DR-70</t>
        </is>
      </c>
      <c r="K123" s="47" t="inlineStr">
        <is>
          <t>R-57, R-58</t>
        </is>
      </c>
      <c r="L123" s="47" t="inlineStr">
        <is>
          <t>Approvata</t>
        </is>
      </c>
      <c r="M123" s="47" t="n"/>
      <c r="N123" s="47" t="inlineStr">
        <is>
          <t>Chat del 31/10/2026 (A5.8.4); a5_8_termico/a5_8_3_modello_nodi.py</t>
        </is>
      </c>
      <c r="O123" s="47" t="inlineStr">
        <is>
          <t>Proposta: cambia i valori di P-24 nel bilancio di Giuliano e chiede un requisito sulla struttura (DR-69). Ipotesi TBC: MLI ε* 0,04, strato esterno α 0,40; motore 15 W (D-115). Sensibilità: collegamento 6 W/K → routine 1,3 W; attacchi delle ali 0,3 W/K → routine ~6 W (fuori da DR-68) | 31/10/2026 Giuliano: approvata. Verifica sul bilancio di potenza (modello A5.6.7, regola D-112, margini ×1,44): routine 0,7 W nominali = 1,0 W al bus → spinta sostenibile 5,7 h su 4,2 (DR-68 rispettato); giorno senza spinta 5,7 W = 8,2 W al bus → SoC minimo 72%; safe 0,4 W → 84%. Layout: DR-70 (≥ 2 W/K) da chiudere in A5.7.4 (pila delle schede contro la −Y; una treccia di rame di ~25 cm da 2 W/K peserebbe ~2,8 kg)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 | 30/10/2026 (D-098): con le aste in Invar il fuoco varia di ~1,7 µm/K e non risente dell'umidità.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 | 30/10/2026 (D-101): con il rallentamento assestamento + ripresa ≤ 6,9 s (rampa nello slew, 6,2 s prima del commissioning); tra bersagli senza slew servono ≥ ~51 s (~380 km) a nadir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 | 30/10/2026 (D-114, Proposta): sistema di riferimento del satellite con origine nel centro geometrico, il limite si legge direttamente sulle coordinate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 | 30/10/2026 (D-101): con il rallentamento l'intervallo tra le bande è 1,58 s: ARW ammesso 0,0077°/√h (CRH03 0,006 ok, valore prudente 0,01 no) e fattore di scala ≤ ~80 ppm (DR-58)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 | 30/10/2026 (D-106): rollio fisso fuori dalle riprese → gradiente di gravità ~0,010 N·m·s per orbita (I 1,14/0,26, 40°), da scaricare con i magnetorquer; inerzie con le ali in A5.7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 | 30/10/2026 (D-101, Giuseppe): al modello geometrico si aggiunge come complemento la correlazione d'immagine tra le bande (correlazione di fase su riquadri): precisione ~0,1 pixel su scene con contorni, ~1 s a scena sul processore della scheda, &lt; 0,1 s su FPGA. Limiti: mare, nuvole e zone uniformi (lì vale il modello con il giroscopio, DR-58); il NIR inverte i contrasti, quindi si allinea al rosso e non alla PAN. Da provare con immagini simulate in Fase B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 | 30/10/2026 (D-106): in safe la faccia a zenit (ali) punta il Sole entro 15° | 30/10/2026 (A5.6.7): safe simulato con ali verso il Sole entro 15°: SoC minimo 84%, avanzo ~1.070 Wh/giorno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 | 30/10/2026 (D-106): con ali a zenit, in safe il telescopio guarda a ~180° dal Sole: DR-37 rispettato anche con coperchio bloccato aperto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 | 30/10/2026 (D-099, Proposta): N = 30 min (TBC).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 | 30/10/2026 (D-106/D-107): in ripresa notturna con rollio di 45° verso il lato del Sole il radiatore vede la Terra al 69%: il sensore sale di ~3 K in 10 min, partendo freddo dall'attesa; requisito rispettato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 | 30/10/2026 (D-101, Proposta): fattibile con le ruote e il controllo di A5.3. Ripresa 4,2 s per scena (2,6 s di scena + 1,58 s tra le bande), rotazione 2,9° a nadir (2,1° a 45° di traverso, 1,5° lungo traccia); rampa nello slew; fattore di scala DR-58 | 30/10/2026 Giuseppe: durata 4,2 s e rotazione 2,9° accettate (D-101 Approvata); conti di frame e dati invariati</t>
        </is>
      </c>
    </row>
    <row r="73" s="26">
      <c r="A73" s="47" t="inlineStr">
        <is>
          <t>DR-57</t>
        </is>
      </c>
      <c r="B73" s="47" t="inlineStr">
        <is>
          <t>Derivato</t>
        </is>
      </c>
      <c r="C73" s="47" t="inlineStr">
        <is>
          <t>Durante le riprese il telescopio deve restare vicino alla sua temperatura di regolazione, e i materiali devono avere dilatazione bassa, perché il fuoco resti entro DR-03.</t>
        </is>
      </c>
      <c r="D73" s="47" t="inlineStr">
        <is>
          <t>±11 K dalla temperatura di regolazione (~15–20 °C, TBC); specchi ≤ ~0,1 ppm/K; distanziali tra gli specchi in Invar (~1,2 ppm/K)</t>
        </is>
      </c>
      <c r="E73" s="47" t="inlineStr">
        <is>
          <t>Analisi termo-ottica (Fase B), prova in termo-vuoto con misura del fuoco (Fase C)</t>
        </is>
      </c>
      <c r="F73" s="47" t="inlineStr">
        <is>
          <t>TBC</t>
        </is>
      </c>
      <c r="G73" s="47" t="inlineStr">
        <is>
          <t>D-098, D-100 (A5.P7)</t>
        </is>
      </c>
      <c r="H73" s="47" t="inlineStr">
        <is>
          <t>Giuseppe</t>
        </is>
      </c>
      <c r="I73" s="47" t="inlineStr">
        <is>
          <t>Metà della tolleranza di DR-03 (±18,5 µm) assegnata al termico, l'altra metà a montaggio e gravità. Sensibilità 1,7 µm/K (fuoco_termico.py)</t>
        </is>
      </c>
    </row>
    <row r="74" s="26">
      <c r="A74" s="47" t="inlineStr">
        <is>
          <t>DR-58</t>
        </is>
      </c>
      <c r="B74" s="47" t="inlineStr">
        <is>
          <t>Derivato</t>
        </is>
      </c>
      <c r="C74" s="47" t="inlineStr">
        <is>
          <t>Durante la ripresa diurna con rallentamento il fattore di scala del giroscopio sull'asse di beccheggio deve essere noto abbastanza da tenere l'errore di conoscenza tra la PAN e l'ultima banda entro DR-18; va calibrato in volo contro lo star tracker alla velocità del rallentamento.</t>
        </is>
      </c>
      <c r="D74" s="47" t="inlineStr">
        <is>
          <t>≤ ~80 ppm (con ARW 0,006°/√h; ≤ 133 ppm da solo) a ~0,77°/s inerziali (TBC)</t>
        </is>
      </c>
      <c r="E74" s="47" t="inlineStr">
        <is>
          <t>Analisi, poi calibrazione al commissioning e periodica</t>
        </is>
      </c>
      <c r="F74" s="47" t="inlineStr">
        <is>
          <t>TBC</t>
        </is>
      </c>
      <c r="G74" s="47" t="inlineStr">
        <is>
          <t>D-101 (A5.4.4)</t>
        </is>
      </c>
      <c r="H74" s="47" t="inlineStr">
        <is>
          <t>Giuliano</t>
        </is>
      </c>
      <c r="I74" s="47" t="inlineStr">
        <is>
          <t>Errore = fs·ω·T: 100 ppm × 0,0134 rad/s × 1,58 s = 2,1 µrad (~0,6 m). Ad assetto fisso bastavano ~2.500 ppm. CRH03: ±0,15–0,3% sulla temperatura, non linearità 0,02–0,05% (datasheet rev 4)</t>
        </is>
      </c>
    </row>
    <row r="75" s="26">
      <c r="A75" s="47" t="inlineStr">
        <is>
          <t>DR-59</t>
        </is>
      </c>
      <c r="B75" s="47" t="inlineStr">
        <is>
          <t>Derivato</t>
        </is>
      </c>
      <c r="C75" s="47" t="inlineStr">
        <is>
          <t>L'ora locale del nodo discendente deve restare entro una tolleranza attorno alle 10:30 per tutta la vita operativa.</t>
        </is>
      </c>
      <c r="D75" s="47" t="inlineStr">
        <is>
          <t>Tolleranza TBD (A6); con 96,8° GMAT dà 10:30 → 9:56 in 2 anni</t>
        </is>
      </c>
      <c r="E75" s="47" t="inlineStr">
        <is>
          <t>Analisi di missione (GMAT)</t>
        </is>
      </c>
      <c r="F75" s="47" t="inlineStr">
        <is>
          <t>TBD</t>
        </is>
      </c>
      <c r="G75" s="47" t="inlineStr">
        <is>
          <t>D-103 (A5.6.2)</t>
        </is>
      </c>
      <c r="H75" s="47" t="inlineStr">
        <is>
          <t>Giuliano</t>
        </is>
      </c>
      <c r="I75" s="47" t="inlineStr">
        <is>
          <t>Promemoria da D-103 (opzione C): la tolleranza non era mai stata scritta. Da fissare in A6 insieme all'illuminazione minima delle riprese diurne</t>
        </is>
      </c>
    </row>
    <row r="76" s="26">
      <c r="A76" s="47" t="inlineStr">
        <is>
          <t>DR-60</t>
        </is>
      </c>
      <c r="B76" s="47" t="inlineStr">
        <is>
          <t>Derivato</t>
        </is>
      </c>
      <c r="C76" s="47" t="inlineStr">
        <is>
          <t>Il motore elettrico deve restare spento durante l'eclisse e durante la trasmissione in banda S; il software di bordo deve gestire automaticamente il passaggio tra spinta e contatto.</t>
        </is>
      </c>
      <c r="D76" s="47" t="inlineStr">
        <is>
          <t>Spinta solo in luce; 0 W di motore con TX S acceso</t>
        </is>
      </c>
      <c r="E76" s="47" t="inlineStr">
        <is>
          <t>Analisi (bilancio orbita per orbita), poi prova del software</t>
        </is>
      </c>
      <c r="F76" s="47" t="inlineStr">
        <is>
          <t>TBC</t>
        </is>
      </c>
      <c r="G76" s="47" t="inlineStr">
        <is>
          <t>D-105 (A5.6.4)</t>
        </is>
      </c>
      <c r="H76" s="47" t="inlineStr">
        <is>
          <t>Giuliano</t>
        </is>
      </c>
      <c r="I76" s="47" t="inlineStr">
        <is>
          <t>Eccezione da valutare: discesa iniziale (D-021) se la sola luce non basta | 30/10/2026 (A5.6.7): regola applicata nella simulazione dello stato di carica</t>
        </is>
      </c>
    </row>
    <row r="77" s="26">
      <c r="A77" s="47" t="inlineStr">
        <is>
          <t>DR-61</t>
        </is>
      </c>
      <c r="B77" s="47" t="inlineStr">
        <is>
          <t>Derivato</t>
        </is>
      </c>
      <c r="C77" s="47" t="inlineStr">
        <is>
          <t>Fuori dalle riprese (attesa e spinta) l'ADCS deve tenere un rollio fisso attorno alla velocità verso il lato del Sole, aggiornato con le stagioni, e scaricare con i magnetorquer il momento del gradiente di gravità che ne deriva.</t>
        </is>
      </c>
      <c r="D77" s="47" t="inlineStr">
        <is>
          <t>Rollio 31–52° (TBC, ottimo stagionale); coppia ~1,8·10⁻⁶ N·m a 40°</t>
        </is>
      </c>
      <c r="E77" s="47" t="inlineStr">
        <is>
          <t>Analisi (A5.6.5), poi simulazione ADCS 3-assi (Fase B)</t>
        </is>
      </c>
      <c r="F77" s="47" t="inlineStr">
        <is>
          <t>TBC</t>
        </is>
      </c>
      <c r="G77" s="47" t="inlineStr">
        <is>
          <t>D-106 (A5.6.5)</t>
        </is>
      </c>
      <c r="H77" s="47" t="inlineStr">
        <is>
          <t>Giuliano</t>
        </is>
      </c>
      <c r="I77" s="47" t="inlineStr">
        <is>
          <t>Errore di rollio ammesso da fissare in A5.6.6 (perdita di potenza ~1 − cos dell'errore)</t>
        </is>
      </c>
    </row>
    <row r="78" s="26">
      <c r="A78" s="47" t="inlineStr">
        <is>
          <t>DR-62</t>
        </is>
      </c>
      <c r="B78" s="47" t="inlineStr">
        <is>
          <t>Derivato</t>
        </is>
      </c>
      <c r="C78" s="47" t="inlineStr">
        <is>
          <t>L'insieme dei pannelli deve fornire a fine vita, alla temperatura di lavoro, la potenza necessaria per il giorno di routine con Sole medio.</t>
        </is>
      </c>
      <c r="D78" s="47" t="inlineStr">
        <is>
          <t>≥ 6 × 21,6 W = 130 W a Sole perpendicolare (fine vita, 70 °C); ≥ 74,5 W medi in luce in assetto D-106 (TBC)</t>
        </is>
      </c>
      <c r="E78" s="47" t="inlineStr">
        <is>
          <t>Analisi, poi misura dei pannelli (Fase C)</t>
        </is>
      </c>
      <c r="F78" s="47" t="inlineStr">
        <is>
          <t>TBC</t>
        </is>
      </c>
      <c r="G78" s="47" t="inlineStr">
        <is>
          <t>D-108 (A5.6.6)</t>
        </is>
      </c>
      <c r="H78" s="47" t="inlineStr">
        <is>
          <t>Giuliano</t>
        </is>
      </c>
      <c r="I78" s="47" t="inlineStr">
        <is>
          <t>Da rivedere con la data di lancio (Sole alto: 8 pannelli) | 30/10/2026 (D-107): con +1 W di riscaldatori la spinta sostenibile scende a 4,9 h/giorno, sopra le 4,2 necessarie | 30/10/2026 (A5.6.7): verificato con la simulazione dello stato di carica (routine: avanzo 136 Wh/giorno nel giorno peggiore)</t>
        </is>
      </c>
    </row>
    <row r="79" s="26">
      <c r="A79" s="47" t="inlineStr">
        <is>
          <t>DR-63</t>
        </is>
      </c>
      <c r="B79" s="47" t="inlineStr">
        <is>
          <t>Derivato</t>
        </is>
      </c>
      <c r="C79" s="47" t="inlineStr">
        <is>
          <t>La batteria deve coprire il caso peggiore al buio senza superare la profondità di scarica ammessa, anche con una stringa guasta, per tutta la vita.</t>
        </is>
      </c>
      <c r="D79" s="47" t="inlineStr">
        <is>
          <t>≥ 112 Wh nominali (4S3P); scarica ≤ 25% a fine vita, ≤ 35% con una stringa guasta</t>
        </is>
      </c>
      <c r="E79" s="47" t="inlineStr">
        <is>
          <t>Analisi (A5.6.6–A5.6.7), poi prova di cicli (Fase C)</t>
        </is>
      </c>
      <c r="F79" s="47" t="inlineStr">
        <is>
          <t>TBC</t>
        </is>
      </c>
      <c r="G79" s="47" t="inlineStr">
        <is>
          <t>D-109, D-111 (A5.6.6–A5.6.7)</t>
        </is>
      </c>
      <c r="H79" s="47" t="inlineStr">
        <is>
          <t>Giuliano</t>
        </is>
      </c>
      <c r="I79" s="47" t="inlineStr">
        <is>
          <t>Caso peggiore: orbita con ripresa notturna e contatto al buio, 16,2 Wh ai carichi con margini (A5.6.3) | 30/10/2026 (D-107): 21% a fine vita e 31% con una stringa guasta, appena sopra il 30% di questo requisito: valore da riconfermare con la simulazione di A5.6.7 (Giuliano) | 30/10/2026 (D-111): valore riscritto da ≤ 20%/≤ 30% a ≤ 25%/≤ 35%; simulazione A5.6.7: 20,4% e 30,7%</t>
        </is>
      </c>
    </row>
    <row r="80" s="26">
      <c r="A80" s="47" t="inlineStr">
        <is>
          <t>DR-64</t>
        </is>
      </c>
      <c r="B80" s="47" t="inlineStr">
        <is>
          <t>Derivato</t>
        </is>
      </c>
      <c r="C80" s="47" t="inlineStr">
        <is>
          <t>La piattaforma deve mantenere l'interno del satellite in un intervallo di temperatura compatibile con batteria e telescopio in tutti i modi (operazioni, spinta, safe).</t>
        </is>
      </c>
      <c r="D80" s="47" t="inlineStr">
        <is>
          <t>~15–25 °C (TBC) in operazioni (D-116, prima 15–20 °C); limiti dei componenti dai datasheet (batteria, motore, ruote, computer)</t>
        </is>
      </c>
      <c r="E80" s="47" t="inlineStr">
        <is>
          <t>Analisi termica (A5/Fase B), prova in termo-vuoto (Fase C)</t>
        </is>
      </c>
      <c r="F80" s="47" t="inlineStr">
        <is>
          <t>TBC</t>
        </is>
      </c>
      <c r="G80" s="47" t="inlineStr">
        <is>
          <t>D-110, D-116</t>
        </is>
      </c>
      <c r="H80" s="47" t="inlineStr">
        <is>
          <t>Giuseppe</t>
        </is>
      </c>
      <c r="I80" s="47" t="inlineStr">
        <is>
          <t>Valore proposto da Giuliano il 30/10/2026; i riscaldatori del telescopio (D-100) sono calcolati attorno a questo valore | 30/10/2026 (D-116, Proposta): limite alto portato a 25 °C per ridurre area del radiatore e riscaldatori; batteria in carica fino a +45 °C, telescopio regolato a ~20 °C ± 11 K (DR-57) | 31/10/2026 Giuliano: 15–25 °C approvato (D-116); dal lato di Giuliano batteria in carica 0/+45 °C, REGULUS −25/+70 °C; altri componenti dai datasheet in A5.7.2</t>
        </is>
      </c>
    </row>
    <row r="81" s="26">
      <c r="A81" s="47" t="inlineStr">
        <is>
          <t>DR-65</t>
        </is>
      </c>
      <c r="B81" s="47" t="inlineStr">
        <is>
          <t>Derivato</t>
        </is>
      </c>
      <c r="C81" s="47" t="inlineStr">
        <is>
          <t>Il software di bordo deve accendere il motore solo con stato di carica della batteria ≥ 90% e spegnerlo sotto l'80%, recuperando la spinta mancata nelle orbite successive.</t>
        </is>
      </c>
      <c r="D81" s="47" t="inlineStr">
        <is>
          <t>Accensione ≥ 90%, spegnimento &lt; 80% (TBC)</t>
        </is>
      </c>
      <c r="E81" s="47" t="inlineStr">
        <is>
          <t>Simulazione (A5.6.7), poi prova del software (Fase C)</t>
        </is>
      </c>
      <c r="F81" s="47" t="inlineStr">
        <is>
          <t>TBC</t>
        </is>
      </c>
      <c r="G81" s="47" t="inlineStr">
        <is>
          <t>D-112 (A5.6.7)</t>
        </is>
      </c>
      <c r="H81" s="47" t="inlineStr">
        <is>
          <t>Giuliano</t>
        </is>
      </c>
      <c r="I81" s="47" t="inlineStr">
        <is>
          <t>Sole alto: spinta ridotta a ~5,6 h/giorno con SoC minimo 73%</t>
        </is>
      </c>
    </row>
    <row r="82" s="26">
      <c r="A82" s="47" t="inlineStr">
        <is>
          <t>DR-66</t>
        </is>
      </c>
      <c r="B82" s="47" t="inlineStr">
        <is>
          <t>Derivato</t>
        </is>
      </c>
      <c r="C82" s="47" t="inlineStr">
        <is>
          <t>La gestione della potenza deve avere livelli di protezione della batteria a soglie di stato di carica (stop alle riprese, poi safe) definiti nell'analisi FDIR.</t>
        </is>
      </c>
      <c r="D82" s="47" t="inlineStr">
        <is>
          <t>Soglie TBD (indicative: 70% stop riprese, 50% safe)</t>
        </is>
      </c>
      <c r="E82" s="47" t="inlineStr">
        <is>
          <t>Analisi FDIR (Fase C)</t>
        </is>
      </c>
      <c r="F82" s="47" t="inlineStr">
        <is>
          <t>TBD</t>
        </is>
      </c>
      <c r="G82" s="47" t="inlineStr">
        <is>
          <t>D-112 (A5.6.7)</t>
        </is>
      </c>
      <c r="H82" s="47" t="inlineStr">
        <is>
          <t>Giuliano</t>
        </is>
      </c>
      <c r="I82" s="47" t="inlineStr">
        <is>
          <t>Requisito per la Fase C (opzione C di D-112)</t>
        </is>
      </c>
    </row>
    <row r="83" s="26">
      <c r="A83" s="47" t="inlineStr">
        <is>
          <t>DR-67</t>
        </is>
      </c>
      <c r="B83" s="47" t="inlineStr">
        <is>
          <t>Derivato</t>
        </is>
      </c>
      <c r="C83" s="47" t="inlineStr">
        <is>
          <t>Il serbatoio dello iodio deve stare vicino alla linea di spinta, perché il consumo del propellente non sposti il baricentro fuori da DR-21 durante la vita.</t>
        </is>
      </c>
      <c r="D83" s="47" t="inlineStr">
        <is>
          <t>≤ ~70 mm dalla linea di spinta (2,04 kg di iodio: spostamento ≤ 5,1 mm da pieno a vuoto su 30 kg)</t>
        </is>
      </c>
      <c r="E83" s="47" t="inlineStr">
        <is>
          <t>Analisi (A5.7.7), poi disegno meccanico (Fase B)</t>
        </is>
      </c>
      <c r="F83" s="47" t="inlineStr">
        <is>
          <t>TBC</t>
        </is>
      </c>
      <c r="G83" s="47" t="inlineStr">
        <is>
          <t>D-117, D-118 (A5.7.3)</t>
        </is>
      </c>
      <c r="H83" s="47" t="inlineStr">
        <is>
          <t>Giuliano</t>
        </is>
      </c>
      <c r="I83" s="47" t="inlineStr">
        <is>
          <t>Spostamento = m_iodio × distanza / massa a vuoto; con il baricentro sulla linea a metà vita resta ±2,6 mm</t>
        </is>
      </c>
    </row>
    <row r="84" s="26">
      <c r="A84" s="47" t="inlineStr">
        <is>
          <t>DR-68</t>
        </is>
      </c>
      <c r="B84" s="47" t="inlineStr">
        <is>
          <t>Derivato</t>
        </is>
      </c>
      <c r="C84" s="47" t="inlineStr">
        <is>
          <t>I riscaldatori della piattaforma devono stare entro l'energia che il bilancio di potenza lascia libera senza ridurre la spinta necessaria nel giorno peggiore di routine.</t>
        </is>
      </c>
      <c r="D84" s="47" t="inlineStr">
        <is>
          <t>≤ 4 W medi al bus, margini compresi (≈ 2,8 W nominali), giorno peggiore di routine (fine maggio, Sole medio, 4,2 h di spinta)</t>
        </is>
      </c>
      <c r="E84" s="47" t="inlineStr">
        <is>
          <t>Analisi (modello termico a nodi A5.8.3 + simulazione dello stato di carica A5.6.7), prova in termo-vuoto (Fase C)</t>
        </is>
      </c>
      <c r="F84" s="47" t="inlineStr">
        <is>
          <t>TBC</t>
        </is>
      </c>
      <c r="G84" s="47" t="inlineStr">
        <is>
          <t>D-116 (A5.7, approvazione di Giuliano)</t>
        </is>
      </c>
      <c r="H84" s="47" t="inlineStr">
        <is>
          <t>Giuseppe</t>
        </is>
      </c>
      <c r="I84" s="47" t="inlineStr">
        <is>
          <t>Limite di calcolo 4,4 W (4,3 h di spinta sostenibili). Nei giorni senza spinta e in safe vale il bilancio del giorno (11 W e 9 W chiudono). Se non rispettato: radiatore a persiane (D-116), R-58</t>
        </is>
      </c>
    </row>
    <row r="85" s="26">
      <c r="A85" s="47" t="inlineStr">
        <is>
          <t>DR-69</t>
        </is>
      </c>
      <c r="B85" s="47" t="inlineStr">
        <is>
          <t>Derivato</t>
        </is>
      </c>
      <c r="C85" s="47" t="inlineStr">
        <is>
          <t>Gli attacchi delle ali solari al corpo (cerniere, sganci, cavi) devono essere isolati termicamente, perché le ali (da −70 a +54 °C) non sottraggano calore all'interno.</t>
        </is>
      </c>
      <c r="D85" s="47" t="inlineStr">
        <is>
          <t>≤ 0,1 W/K in tutto per le 6 ali (TBC)</t>
        </is>
      </c>
      <c r="E85" s="47" t="inlineStr">
        <is>
          <t>Analisi (A5.8), misura della conduttanza in Fase C</t>
        </is>
      </c>
      <c r="F85" s="47" t="inlineStr">
        <is>
          <t>TBC</t>
        </is>
      </c>
      <c r="G85" s="47" t="inlineStr">
        <is>
          <t>D-122 (A5.8.4)</t>
        </is>
      </c>
      <c r="H85" s="47" t="inlineStr">
        <is>
          <t>Giuliano</t>
        </is>
      </c>
      <c r="I85" s="47" t="inlineStr">
        <is>
          <t>Con 0,3 W/K i riscaldatori della routine d'estate salgono a ~6 W (oltre DR-68). Rondelle isolanti (es. G10, PEEK) sulle cerniere | 31/10/2026 Giuliano: accettato (responsabile Giuliano, struttura); rondelle isolanti sulle cerniere e sganci da prevedere in A5.7.5</t>
        </is>
      </c>
    </row>
    <row r="86" s="26">
      <c r="A86" s="47" t="inlineStr">
        <is>
          <t>DR-70</t>
        </is>
      </c>
      <c r="B86" s="47" t="inlineStr">
        <is>
          <t>Derivato</t>
        </is>
      </c>
      <c r="C86" s="47" t="inlineStr">
        <is>
          <t>Il radiatore della piattaforma deve smaltire il calore interno nel caso caldo tenendo l'interno entro DR-64.</t>
        </is>
      </c>
      <c r="D86" s="47" t="inlineStr">
        <is>
          <t>≥ 600 cm² sulla faccia −Y (TBC); α ≤ 0,35 a fine vita, ε ≥ 0,85; collegamento con l'interno ≥ 2 W/K</t>
        </is>
      </c>
      <c r="E86" s="47" t="inlineStr">
        <is>
          <t>Analisi (modello a nodi A5.8.3, poi Fase B), prova in termo-vuoto (Fase C)</t>
        </is>
      </c>
      <c r="F86" s="47" t="inlineStr">
        <is>
          <t>TBC</t>
        </is>
      </c>
      <c r="G86" s="47" t="inlineStr">
        <is>
          <t>D-122 (A5.8.4)</t>
        </is>
      </c>
      <c r="H86" s="47" t="inlineStr">
        <is>
          <t>Giuseppe</t>
        </is>
      </c>
      <c r="I86" s="47" t="inlineStr">
        <is>
          <t>Vernice bianca resistente all'ossigeno atomico e alle radiazioni UV (prove come EarthNext/Material4Cubesat in Fase B) | 31/10/2026 Giuliano: accettato; posizione dell'elettronica contro la −Y da decidere in A5.7.4</t>
        </is>
      </c>
    </row>
    <row r="87" s="26">
      <c r="A87" s="47" t="inlineStr">
        <is>
          <t>DR-71</t>
        </is>
      </c>
      <c r="B87" s="47" t="inlineStr">
        <is>
          <t>Derivato</t>
        </is>
      </c>
      <c r="C87" s="47" t="inlineStr">
        <is>
          <t>Le ali solari devono sopportare le temperature che raggiungono in orbita, al buio e al Sole, anche quando le celle non producono (batteria piena).</t>
        </is>
      </c>
      <c r="D87" s="47" t="inlineStr">
        <is>
          <t>Qualifica ≥ −80…+85 °C (TBC): previsto −70…+72 °C (A5.8.5) più ~10 K di margine</t>
        </is>
      </c>
      <c r="E87" s="47" t="inlineStr">
        <is>
          <t>Analisi (A5.8.5, poi Fase B), prova di cicli termici dei pannelli (Fase C)</t>
        </is>
      </c>
      <c r="F87" s="47" t="inlineStr">
        <is>
          <t>TBC</t>
        </is>
      </c>
      <c r="G87" s="47" t="inlineStr">
        <is>
          <t>A5.8.5 (D-122)</t>
        </is>
      </c>
      <c r="H87" s="47" t="inlineStr">
        <is>
          <t>Giuliano</t>
        </is>
      </c>
      <c r="I87" s="47" t="inlineStr">
        <is>
          <t>Il CSV di A5.7.2 dà −40/+80 °C in funzione per la classe AAC Photon/ISIS: da verificare con il fornitore. Retro delle ali verniciato (ε ~0,85): con alluminio lucido il buio scende a ~−86 °C. A ~54 °C (celle che producono) la potenza è ~5% sopra il valore a 70 °C di D-108 (stima) | 31/10/2026 Giuliano: accettato. Il −40 °C del CSV di A5.7.2 è l'intervallo in funzione della famiglia di pannelli AAC Photon (FR4, −40/+80 °C), non delle celle; GomSpace DSP −60/+80 °C, ISIS −40/+125 °C: nessun catalogo arriva a −70 °C, la qualifica va chiesta al fornitore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In mitigazione</t>
        </is>
      </c>
      <c r="L8" s="47" t="inlineStr">
        <is>
          <t>Fase 0</t>
        </is>
      </c>
      <c r="M8" s="47" t="inlineStr">
        <is>
          <t xml:space="preserve"> | 30/10/2026 (A5.6.3–A5.6.4): payload ~1% dell'energia giornaliera; dominano base sempre accesa (~58%) e spinta (36–51%). D-105 separa spinta, eclisse e trasmissione: picco ~86 W con margini | 30/10/2026 (A5.6.7): simulazione dello stato di carica: routine ed emergenza con SoC ≥ 79,6% e avanzo ≥ 119 Wh/giorno; spinta senza scaricare la batteria | 30/10/2026 (A5.6.8): passa a In mitigazione: spinta separata da eclisse e trasmissioni (D-105), 6 ali con rollio fisso (D-106, D-108), batteria 4S3P (D-109), regola 90/80% (D-112); resta il caso Sole alto (R-56)</t>
        </is>
      </c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 | 30/10/2026 (D-105): spinta solo in luce e ferma durante la trasmissione S; restano ~14,4 h di luce/giorno meno contatti e divieti delle riprese, contro 4,2–7,8 h necessarie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 | 30/10/2026 (D-099): telescopio isolato, +1–2 K in 30 min se il motore scalda l'interno di 5 K; N = 30 min (TBC).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 | 30/10/2026 (D-106): con ali a zenit il safe tiene il Sole dietro il telescopio (~180°): caso coperchio bloccato aperto coperto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In mitigazione</t>
        </is>
      </c>
      <c r="L50" s="47" t="inlineStr">
        <is>
          <t>A5</t>
        </is>
      </c>
      <c r="M50" s="47" t="inlineStr">
        <is>
          <t>Nato con D-088 e D-090 (30/10/2026). Collegato a R-24 (calore del motore) | 30/10/2026 (D-098): l'umidità è risolta con le aste in Invar; resta la deriva con la temperatura (±11 K, DR-57) e l'assestamento al lancio, da verificare in Fase B; motorino di fuoco come riserva.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In mitigazione</t>
        </is>
      </c>
      <c r="L54" s="47" t="inlineStr">
        <is>
          <t>A5</t>
        </is>
      </c>
      <c r="M54" s="47" t="inlineStr">
        <is>
          <t>Nato con D-096 (30/10/2026) | 30/10/2026 (D-101): simulazione 1-asse fatta: profilo tenuto (deriva ≤ 0,001°/s, errore ≤ 0,012°), +2,1–2,7 s per scena, giorni con ≥ 4 scene 40% → 30%. Il rischio residuo passa al fattore di scala (R-54) e alla 3-assi in Fase B</t>
        </is>
      </c>
    </row>
    <row r="55" s="26">
      <c r="A55" s="47" t="inlineStr">
        <is>
          <t>R-54</t>
        </is>
      </c>
      <c r="B55" s="47" t="inlineStr">
        <is>
          <t>La calibrazione in volo del fattore di scala del giroscopio di beccheggio non arriva a ~80 ppm (DR-58), o deriva con la temperatura tra una calibrazione e l'altra</t>
        </is>
      </c>
      <c r="C55" s="47" t="inlineStr">
        <is>
          <t>Bande colore e passaggi TDI disallineati di 1–4 pixel nelle riprese diurne con rallentamento</t>
        </is>
      </c>
      <c r="D55" s="47" t="inlineStr">
        <is>
          <t>Media</t>
        </is>
      </c>
      <c r="E55" s="47" t="inlineStr">
        <is>
          <t>Media</t>
        </is>
      </c>
      <c r="F55" s="50">
        <f>IF(OR(D55="",E55=""),"",MATCH(D55,{"Bassa","Media","Alta"},0)*MATCH(E55,{"Bassa","Media","Alta"},0))</f>
        <v/>
      </c>
      <c r="G55" s="47" t="inlineStr">
        <is>
          <t>Calibrazione contro lo star tracker alla velocità del rallentamento, al commissioning e periodica; giroscopio con compensazione termica; riallineamento per correlazione tra le bande (DR-26); ripiego: rallentamento disattivato (opzione C di D-096)</t>
        </is>
      </c>
      <c r="H55" s="47" t="inlineStr">
        <is>
          <t>Fase B (3-assi e modello del giroscopio), commissioning</t>
        </is>
      </c>
      <c r="I55" s="47" t="n"/>
      <c r="J55" s="47" t="inlineStr">
        <is>
          <t>Entrambi</t>
        </is>
      </c>
      <c r="K55" s="47" t="inlineStr">
        <is>
          <t>In mitigazione</t>
        </is>
      </c>
      <c r="L55" s="47" t="inlineStr">
        <is>
          <t>A5</t>
        </is>
      </c>
      <c r="M55" s="47" t="inlineStr">
        <is>
          <t>Nato con D-101 (30/10/2026) | 30/10/2026 (D-101 Approvata): correlazione tra le bande a bordo adottata come complemento (DR-26): sulle scene con contorni corregge l'errore del fattore di scala; il rischio residuo resta sulle zone uniformi (mare, nuvole), dove il disallineamento conta meno</t>
        </is>
      </c>
    </row>
    <row r="56" s="26">
      <c r="A56" s="47" t="inlineStr">
        <is>
          <t>R-55</t>
        </is>
      </c>
      <c r="B56" s="47" t="inlineStr">
        <is>
          <t>Il sensore notturno o la scheda payload, spenti, vengono raffreddati troppo dai propri radiatori (fino a ~−43 °C con il rollio di D-106), sotto i limiti dei componenti</t>
        </is>
      </c>
      <c r="C56" s="47" t="inlineStr">
        <is>
          <t>Guasti o cicli termici eccessivi sull'elettronica e sul sensore; ritardo prima delle riprese per riscaldare</t>
        </is>
      </c>
      <c r="D56" s="47" t="inlineStr">
        <is>
          <t>Media</t>
        </is>
      </c>
      <c r="E56" s="47" t="inlineStr">
        <is>
          <t>Media</t>
        </is>
      </c>
      <c r="F56" s="50">
        <f>IF(OR(D56="",E56=""),"",MATCH(D56,{"Bassa","Media","Alta"},0)*MATCH(E56,{"Bassa","Media","Alta"},0))</f>
        <v/>
      </c>
      <c r="G56" s="47" t="inlineStr">
        <is>
          <t>Riscaldatori di sopravvivenza con termostato (~1 W, D-107); limiti di temperatura dai datasheet; in Fase B interruttore termico o radiatore a collegamento variabile e modello termico completo</t>
        </is>
      </c>
      <c r="H56" s="47" t="inlineStr">
        <is>
          <t>Fase B (modello termico, datasheet)</t>
        </is>
      </c>
      <c r="I56" s="47" t="n"/>
      <c r="J56" s="47" t="inlineStr">
        <is>
          <t>Giuseppe</t>
        </is>
      </c>
      <c r="K56" s="47" t="inlineStr">
        <is>
          <t>In mitigazione</t>
        </is>
      </c>
      <c r="L56" s="47" t="inlineStr">
        <is>
          <t>A5</t>
        </is>
      </c>
      <c r="M56" s="47" t="inlineStr">
        <is>
          <t>Nato con la verifica di D-106 (30/10/2026); il problema c'era già a nadir (~−33 °C), il rollio lo peggiora di ~10 K</t>
        </is>
      </c>
    </row>
    <row r="57" s="26">
      <c r="A57" s="47" t="inlineStr">
        <is>
          <t>R-56</t>
        </is>
      </c>
      <c r="B57" s="47" t="inlineStr">
        <is>
          <t>Con attività solare alta (data di lancio vicina al massimo del ciclo) la potenza dei 6 pannelli non basta per le ~7,8 h/giorno di spinta</t>
        </is>
      </c>
      <c r="C57" s="47" t="inlineStr">
        <is>
          <t>Quota non mantenuta o vita ridotta (come per il propellente, R-12)</t>
        </is>
      </c>
      <c r="D57" s="47" t="inlineStr">
        <is>
          <t>Bassa</t>
        </is>
      </c>
      <c r="E57" s="47" t="inlineStr">
        <is>
          <t>Alta</t>
        </is>
      </c>
      <c r="F57" s="50">
        <f>IF(OR(D57="",E57=""),"",MATCH(D57,{"Bassa","Media","Alta"},0)*MATCH(E57,{"Bassa","Media","Alta"},0))</f>
        <v/>
      </c>
      <c r="G57" s="47" t="inlineStr">
        <is>
          <t>Data di lancio nella fase discendente del ciclo; riserva di 8 pannelli da verificare nel layout (A5.7); riduzione dei consumi fissi (giroscopio 5 W) in Fase B; revisione congiunta con D-033 e D-034 quando la data è nota; regola di bordo 90/80% (D-112): la batteria non si svuota, spinta ridotta a ~5,6 h/giorno</t>
        </is>
      </c>
      <c r="H57" s="47" t="inlineStr">
        <is>
          <t>A6 / Fase B</t>
        </is>
      </c>
      <c r="I57" s="47" t="n"/>
      <c r="J57" s="47" t="inlineStr">
        <is>
          <t>Giuliano</t>
        </is>
      </c>
      <c r="K57" s="47" t="inlineStr">
        <is>
          <t>In mitigazione</t>
        </is>
      </c>
      <c r="L57" s="47" t="inlineStr">
        <is>
          <t>A5</t>
        </is>
      </c>
      <c r="M57" s="47" t="inlineStr">
        <is>
          <t>Nato con D-108 (30/10/2026) | 30/10/2026 (A5.6.7): senza regola la batteria si svuota in &lt; 1 giorno; con D-112 spinta ~5,6 h/giorno (servono 7,8)</t>
        </is>
      </c>
    </row>
    <row r="58" s="26">
      <c r="A58" s="47" t="inlineStr">
        <is>
          <t>R-57</t>
        </is>
      </c>
      <c r="B58" s="47" t="inlineStr">
        <is>
          <t>Il calore del REGULUS che entra nel satellite dall'attacco è più alto della stima di 15 W (fino a 48,5 W se il radiatore sull'ugello smaltisce meno del previsto o vede il satellite)</t>
        </is>
      </c>
      <c r="C58" s="47" t="inlineStr">
        <is>
          <t>Interno più caldo in spinta: radiatore della piattaforma insufficiente, batteria e telescopio fuori dai limiti (DR-64, DR-57), spinta da ridurre</t>
        </is>
      </c>
      <c r="D58" s="47" t="inlineStr">
        <is>
          <t>Media</t>
        </is>
      </c>
      <c r="E58" s="47" t="inlineStr">
        <is>
          <t>Media</t>
        </is>
      </c>
      <c r="F58" s="50">
        <f>IF(OR(D58="",E58=""),"",MATCH(D58,{"Bassa","Media","Alta"},0)*MATCH(E58,{"Bassa","Media","Alta"},0))</f>
        <v/>
      </c>
      <c r="G58" s="47" t="inlineStr">
        <is>
          <t>Verifica con i dati T4i in A5.7.1 (Giuliano); caso di sensibilità a 48,5 W nel modello A5.8.3; ugello su −X con il radiatore che vede lo spazio libero; in Fase B ICD T4i e prova termica</t>
        </is>
      </c>
      <c r="H58" s="47" t="inlineStr">
        <is>
          <t>A5.7.1 / A5.8.3</t>
        </is>
      </c>
      <c r="I58" s="47" t="inlineStr">
        <is>
          <t>TBD</t>
        </is>
      </c>
      <c r="J58" s="47" t="inlineStr">
        <is>
          <t>Giuseppe</t>
        </is>
      </c>
      <c r="K58" s="47" t="inlineStr">
        <is>
          <t>Aperto</t>
        </is>
      </c>
      <c r="L58" s="47" t="inlineStr">
        <is>
          <t>A5</t>
        </is>
      </c>
      <c r="M58" s="47" t="inlineStr">
        <is>
          <t>Nato con D-115 (30/10/2026) | 31/10/2026 (A5.7.3): nessun dato pubblico sui W dall'attacco; si chiude con l'ICD di T4i. Radiatore dell'ugello su −X: verificare in A5.7.5 che le ali aperte non lo vedano</t>
        </is>
      </c>
    </row>
    <row r="59" s="26">
      <c r="A59" s="47" t="inlineStr">
        <is>
          <t>R-58</t>
        </is>
      </c>
      <c r="B59" s="47" t="inlineStr">
        <is>
          <t>L'energia dei riscaldatori della piattaforma nei periodi freddi (giorni di routine d'estate, giorni senza spinta) non sta nell'avanzo del bilancio di potenza</t>
        </is>
      </c>
      <c r="C59" s="47" t="inlineStr">
        <is>
          <t>Meno ore di spinta disponibili o interno sotto i 15 °C (batteria e telescopio vicini ai limiti)</t>
        </is>
      </c>
      <c r="D59" s="47" t="inlineStr">
        <is>
          <t>Media</t>
        </is>
      </c>
      <c r="E59" s="47" t="inlineStr">
        <is>
          <t>Media</t>
        </is>
      </c>
      <c r="F59" s="50">
        <f>IF(OR(D59="",E59=""),"",MATCH(D59,{"Bassa","Media","Alta"},0)*MATCH(E59,{"Bassa","Media","Alta"},0))</f>
        <v/>
      </c>
      <c r="G59" s="47" t="inlineStr">
        <is>
          <t>Interno 15–25 °C (D-116); modello a nodi con capacità termica e vernici a fine vita (A5.8.3); riscaldatori solo sulla batteria se basta; nei giorni senza spinta si usa l'energia non spesa per il motore; radiatore a persiane come riserva; tetto di DR-68 (≤ 4 W al bus con margini) come obiettivo del modello a nodi</t>
        </is>
      </c>
      <c r="H59" s="47" t="inlineStr">
        <is>
          <t>A5.8.3–A5.8.4</t>
        </is>
      </c>
      <c r="I59" s="47" t="inlineStr">
        <is>
          <t>TBD</t>
        </is>
      </c>
      <c r="J59" s="47" t="inlineStr">
        <is>
          <t>Giuseppe</t>
        </is>
      </c>
      <c r="K59" s="47" t="inlineStr">
        <is>
          <t>In mitigazione</t>
        </is>
      </c>
      <c r="L59" s="47" t="inlineStr">
        <is>
          <t>A5</t>
        </is>
      </c>
      <c r="M59" s="47" t="inlineStr">
        <is>
          <t>Nato con D-116 (30/10/2026) | 31/10/2026 (D-116 approvata, DR-68): tetto ≤ 4 W medi al bus margini compresi; con 5 W la spinta sostenibile scende a 4,0 h su 4,2 (A5.7, riscaldatori_potenza.py) | 31/10/2026 (D-122): con 600 cm² i riscaldatori della routine d'estate sono ~0,7 W nominali (DR-68: 2,8 W); restano da verificare con l'ICD del REGULUS e le vernici reali</t>
        </is>
      </c>
    </row>
    <row r="60" s="26">
      <c r="A60" s="47" t="inlineStr">
        <is>
          <t>R-59</t>
        </is>
      </c>
      <c r="B60" s="47" t="inlineStr">
        <is>
          <t>Preriscaldamento e raffreddamento del REGULUS (PSH/PSC) o il mantenimento in temperatura (PSTM) richiedono più tempo o energia di quanto previsto, con 16 accensioni brevi al giorno (spinta solo in luce, ~17 min per orbita)</t>
        </is>
      </c>
      <c r="C60" s="47" t="inlineStr">
        <is>
          <t>Meno minuti di spinta utili per orbita o più energia: bilancio di potenza (A5.6) e ore di spinta (D-108) da rifare; più calore all'interno</t>
        </is>
      </c>
      <c r="D60" s="47" t="inlineStr">
        <is>
          <t>Media</t>
        </is>
      </c>
      <c r="E60" s="47" t="inlineStr">
        <is>
          <t>Media</t>
        </is>
      </c>
      <c r="F60" s="50">
        <f>IF(OR(D60="",E60=""),"",MATCH(D60,{"Bassa","Media","Alta"},0)*MATCH(E60,{"Bassa","Media","Alta"},0))</f>
        <v/>
      </c>
      <c r="G60" s="47" t="inlineStr">
        <is>
          <t>Chiedere a T4i durata e potenza di PSH/PSC/PSTM (ICD); se servono, accensioni più lunghe e meno numerose o PSTM nei giorni di spinta, con verifica nel bilancio orbita per orbita; nel caso peggiore 50 W comprensivi (D-104) da rivedere</t>
        </is>
      </c>
      <c r="H60" s="47" t="inlineStr">
        <is>
          <t>A5.7.3 / Fase B</t>
        </is>
      </c>
      <c r="I60" s="47" t="inlineStr">
        <is>
          <t>~6</t>
        </is>
      </c>
      <c r="J60" s="47" t="inlineStr">
        <is>
          <t>Giuliano</t>
        </is>
      </c>
      <c r="K60" s="47" t="inlineStr">
        <is>
          <t>Aperto</t>
        </is>
      </c>
      <c r="L60" s="47" t="inlineStr">
        <is>
          <t>A5</t>
        </is>
      </c>
      <c r="M60" s="47" t="inlineStr">
        <is>
          <t>Nato con D-117 (31/10/2026). EarthNext usa accensioni da ~2,5 h con PSH e PSC a ogni ciclo</t>
        </is>
      </c>
    </row>
    <row r="61" s="26">
      <c r="A61" s="47" t="inlineStr">
        <is>
          <t>R-60</t>
        </is>
      </c>
      <c r="B61" s="47" t="inlineStr">
        <is>
          <t>Le ali solari a catalogo sono qualificate solo fino a −40 °C, ma al buio scendono a ~−70 °C</t>
        </is>
      </c>
      <c r="C61" s="47" t="inlineStr">
        <is>
          <t>Celle o incollaggi danneggiati dai cicli termici (~11.600 in 2 anni), perdita di potenza</t>
        </is>
      </c>
      <c r="D61" s="47" t="inlineStr">
        <is>
          <t>Media</t>
        </is>
      </c>
      <c r="E61" s="47" t="inlineStr">
        <is>
          <t>Media</t>
        </is>
      </c>
      <c r="F61" s="50">
        <f>IF(OR(D61="",E61=""),"",MATCH(D61,{"Bassa","Media","Alta"},0)*MATCH(E61,{"Bassa","Media","Alta"},0))</f>
        <v/>
      </c>
      <c r="G61" s="47" t="inlineStr">
        <is>
          <t>Chiedere al fornitore una qualifica −80…+85 °C (DR-71), comune per pannelli in LEO; retro verniciato ad alta emissività; prova di cicli termici in Fase C</t>
        </is>
      </c>
      <c r="H61" s="47" t="inlineStr">
        <is>
          <t>A5.7 / Fase B</t>
        </is>
      </c>
      <c r="I61" s="47" t="inlineStr">
        <is>
          <t>TBD</t>
        </is>
      </c>
      <c r="J61" s="47" t="inlineStr">
        <is>
          <t>Giuliano</t>
        </is>
      </c>
      <c r="K61" s="47" t="inlineStr">
        <is>
          <t>Aperto</t>
        </is>
      </c>
      <c r="L61" s="47" t="inlineStr">
        <is>
          <t>A5</t>
        </is>
      </c>
      <c r="M61" s="47" t="inlineStr">
        <is>
          <t>Nato con A5.8.5 (31/10/2026) | 31/10/2026 Giuliano: accettato (responsabile Giuliano)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2026-10-31T13:27:42Z</dcterms:modified>
  <cp:revision>0</cp:revision>
</cp:coreProperties>
</file>