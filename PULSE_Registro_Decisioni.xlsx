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Leggimi" sheetId="1" state="visible" r:id="rId1"/>
    <sheet xmlns:r="http://schemas.openxmlformats.org/officeDocument/2006/relationships" name="Decisioni" sheetId="2" state="visible" r:id="rId2"/>
    <sheet xmlns:r="http://schemas.openxmlformats.org/officeDocument/2006/relationships" name="Requisiti" sheetId="3" state="visible" r:id="rId3"/>
    <sheet xmlns:r="http://schemas.openxmlformats.org/officeDocument/2006/relationships" name="Rischi" sheetId="4" state="visible" r:id="rId4"/>
    <sheet xmlns:r="http://schemas.openxmlformats.org/officeDocument/2006/relationships" name="Liste" sheetId="5" state="hidden" r:id="rId5"/>
  </sheets>
  <definedNames>
    <definedName name="_xlnm._FilterDatabase" localSheetId="1" hidden="1">'Decisioni'!$A$1:$O$200</definedName>
    <definedName name="_xlnm._FilterDatabase" localSheetId="2" hidden="1">'Requisiti'!$A$1:$I$200</definedName>
    <definedName name="_xlnm._FilterDatabase" localSheetId="3" hidden="1">'Rischi'!$A$1:$M$200</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h:mm:ss"/>
  </numFmts>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3A5F"/>
      <sz val="16"/>
    </font>
    <font>
      <name val="Arial"/>
      <charset val="1"/>
      <family val="0"/>
      <i val="1"/>
      <color rgb="FF555555"/>
      <sz val="10"/>
    </font>
    <font>
      <name val="Arial"/>
      <charset val="1"/>
      <family val="0"/>
      <b val="1"/>
      <color rgb="FF1F3A5F"/>
      <sz val="12"/>
    </font>
    <font>
      <name val="Arial"/>
      <charset val="1"/>
      <family val="0"/>
      <b val="1"/>
      <sz val="10"/>
    </font>
    <font>
      <name val="Arial"/>
      <charset val="1"/>
      <family val="0"/>
      <sz val="10"/>
    </font>
    <font>
      <name val="Arial"/>
      <charset val="1"/>
      <family val="0"/>
      <b val="1"/>
      <color rgb="FFFFFFFF"/>
      <sz val="10"/>
    </font>
  </fonts>
  <fills count="8">
    <fill>
      <patternFill/>
    </fill>
    <fill>
      <patternFill patternType="gray125"/>
    </fill>
    <fill>
      <patternFill patternType="solid">
        <fgColor rgb="FFFDE9D9"/>
        <bgColor rgb="FFFCE4D6"/>
      </patternFill>
    </fill>
    <fill>
      <patternFill patternType="solid">
        <fgColor rgb="FFFFF2CC"/>
        <bgColor rgb="FFFDE9D9"/>
      </patternFill>
    </fill>
    <fill>
      <patternFill patternType="solid">
        <fgColor rgb="FFFFFFFF"/>
        <bgColor rgb="FFFFF2CC"/>
      </patternFill>
    </fill>
    <fill>
      <patternFill patternType="solid">
        <fgColor rgb="FFFCE4D6"/>
        <bgColor rgb="FFFDE9D9"/>
      </patternFill>
    </fill>
    <fill>
      <patternFill patternType="solid">
        <fgColor rgb="FFE7E6E6"/>
        <bgColor rgb="FFFCE4D6"/>
      </patternFill>
    </fill>
    <fill>
      <patternFill patternType="solid">
        <fgColor rgb="FF1F3A5F"/>
        <bgColor rgb="FF333333"/>
      </patternFill>
    </fill>
  </fills>
  <borders count="2">
    <border>
      <left/>
      <right/>
      <top/>
      <bottom/>
      <diagonal/>
    </border>
    <border>
      <left style="thin">
        <color rgb="FFC9CED6"/>
      </left>
      <right style="thin">
        <color rgb="FFC9CED6"/>
      </right>
      <top style="thin">
        <color rgb="FFC9CED6"/>
      </top>
      <bottom style="thin">
        <color rgb="FFC9CED6"/>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1" applyAlignment="1" pivotButton="0" quotePrefix="0" xfId="0">
      <alignment horizontal="general" vertical="bottom"/>
    </xf>
    <xf numFmtId="0" fontId="8" fillId="0" borderId="0" applyAlignment="1" pivotButton="0" quotePrefix="0" xfId="0">
      <alignment horizontal="general" vertical="bottom"/>
    </xf>
    <xf numFmtId="0" fontId="7" fillId="3" borderId="1" applyAlignment="1" pivotButton="0" quotePrefix="0" xfId="0">
      <alignment horizontal="general" vertical="bottom"/>
    </xf>
    <xf numFmtId="0" fontId="7" fillId="4" borderId="1" applyAlignment="1" pivotButton="0" quotePrefix="0" xfId="0">
      <alignment horizontal="general" vertical="bottom"/>
    </xf>
    <xf numFmtId="0" fontId="7" fillId="5" borderId="1" applyAlignment="1" pivotButton="0" quotePrefix="0" xfId="0">
      <alignment horizontal="general" vertical="bottom"/>
    </xf>
    <xf numFmtId="0" fontId="7" fillId="6" borderId="1" applyAlignment="1" pivotButton="0" quotePrefix="0" xfId="0">
      <alignment horizontal="general" vertical="bottom"/>
    </xf>
    <xf numFmtId="0" fontId="9" fillId="7"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general" vertical="bottom"/>
    </xf>
    <xf numFmtId="0" fontId="7" fillId="0" borderId="1" applyAlignment="1" pivotButton="0" quotePrefix="0" xfId="0">
      <alignment horizontal="left" vertical="bottom"/>
    </xf>
    <xf numFmtId="0" fontId="8" fillId="0" borderId="0" applyAlignment="1" pivotButton="0" quotePrefix="0" xfId="0">
      <alignment horizontal="general" vertical="bottom"/>
    </xf>
    <xf numFmtId="0" fontId="7" fillId="0" borderId="0" applyAlignment="1" pivotButton="0" quotePrefix="0" xfId="0">
      <alignment horizontal="left" vertical="bottom"/>
    </xf>
    <xf numFmtId="0" fontId="9" fillId="7" borderId="1" applyAlignment="1" pivotButton="0" quotePrefix="0" xfId="0">
      <alignment horizontal="general" vertical="center" wrapText="1"/>
    </xf>
    <xf numFmtId="0" fontId="8" fillId="0" borderId="1" applyAlignment="1" pivotButton="0" quotePrefix="0" xfId="0">
      <alignment horizontal="general" vertical="top" wrapText="1"/>
    </xf>
    <xf numFmtId="164" fontId="8" fillId="0" borderId="1" applyAlignment="1" pivotButton="0" quotePrefix="0" xfId="0">
      <alignment horizontal="general" vertical="top" wrapText="1"/>
    </xf>
    <xf numFmtId="0" fontId="8" fillId="0" borderId="1" applyAlignment="1" pivotButton="0" quotePrefix="0" xfId="0">
      <alignment horizontal="center" vertical="top"/>
    </xf>
    <xf numFmtId="0" fontId="7"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1" applyAlignment="1" pivotButton="0" quotePrefix="0" xfId="0">
      <alignment horizontal="general" vertical="bottom"/>
    </xf>
    <xf numFmtId="0" fontId="8" fillId="0" borderId="0" applyAlignment="1" pivotButton="0" quotePrefix="0" xfId="0">
      <alignment horizontal="general" vertical="bottom"/>
    </xf>
    <xf numFmtId="0" fontId="7" fillId="3" borderId="1" applyAlignment="1" pivotButton="0" quotePrefix="0" xfId="0">
      <alignment horizontal="general" vertical="bottom"/>
    </xf>
    <xf numFmtId="0" fontId="7" fillId="4" borderId="1" applyAlignment="1" pivotButton="0" quotePrefix="0" xfId="0">
      <alignment horizontal="general" vertical="bottom"/>
    </xf>
    <xf numFmtId="0" fontId="7" fillId="5" borderId="1" applyAlignment="1" pivotButton="0" quotePrefix="0" xfId="0">
      <alignment horizontal="general" vertical="bottom"/>
    </xf>
    <xf numFmtId="0" fontId="7" fillId="6" borderId="1" applyAlignment="1" pivotButton="0" quotePrefix="0" xfId="0">
      <alignment horizontal="general" vertical="bottom"/>
    </xf>
    <xf numFmtId="0" fontId="9" fillId="7"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general" vertical="bottom"/>
    </xf>
    <xf numFmtId="0" fontId="7" fillId="0" borderId="1" applyAlignment="1" pivotButton="0" quotePrefix="0" xfId="0">
      <alignment horizontal="left" vertical="bottom"/>
    </xf>
    <xf numFmtId="0" fontId="7" fillId="0" borderId="0" applyAlignment="1" pivotButton="0" quotePrefix="0" xfId="0">
      <alignment horizontal="left" vertical="bottom"/>
    </xf>
    <xf numFmtId="0" fontId="9" fillId="7" borderId="1" applyAlignment="1" pivotButton="0" quotePrefix="0" xfId="0">
      <alignment horizontal="general" vertical="center" wrapText="1"/>
    </xf>
    <xf numFmtId="0" fontId="8" fillId="0" borderId="1" applyAlignment="1" pivotButton="0" quotePrefix="0" xfId="0">
      <alignment horizontal="general" vertical="top" wrapText="1"/>
    </xf>
    <xf numFmtId="164" fontId="8" fillId="0" borderId="1" applyAlignment="1" pivotButton="0" quotePrefix="0" xfId="0">
      <alignment horizontal="general" vertical="top" wrapText="1"/>
    </xf>
    <xf numFmtId="0" fontId="8" fillId="0" borderId="1" applyAlignment="1" pivotButton="0" quotePrefix="0" xfId="0">
      <alignment horizontal="general" vertical="top" wrapText="1"/>
    </xf>
    <xf numFmtId="164"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center" vertical="top"/>
    </xf>
    <xf numFmtId="0" fontId="7"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6">
    <dxf>
      <fill>
        <patternFill patternType="solid">
          <fgColor rgb="FF1F3A5F"/>
          <bgColor rgb="FF000000"/>
        </patternFill>
      </fill>
    </dxf>
    <dxf>
      <fill>
        <patternFill patternType="solid">
          <fgColor rgb="FFE7E6E6"/>
          <bgColor rgb="FF000000"/>
        </patternFill>
      </fill>
    </dxf>
    <dxf>
      <fill>
        <patternFill patternType="solid">
          <fgColor rgb="FFFFF2CC"/>
          <bgColor rgb="FF000000"/>
        </patternFill>
      </fill>
    </dxf>
    <dxf>
      <fill>
        <patternFill patternType="solid">
          <bgColor rgb="FF000000"/>
        </patternFill>
      </fill>
    </dxf>
    <dxf>
      <fill>
        <patternFill patternType="solid">
          <fgColor rgb="FFFFFFFF"/>
          <bgColor rgb="FF000000"/>
        </patternFill>
      </fill>
    </dxf>
    <dxf>
      <fill>
        <patternFill>
          <bgColor rgb="FFFDE9D9"/>
        </patternFill>
      </fill>
    </dxf>
    <dxf>
      <fill>
        <patternFill>
          <bgColor rgb="FFFFF2CC"/>
        </patternFill>
      </fill>
    </dxf>
    <dxf>
      <fill>
        <patternFill>
          <bgColor rgb="FFFCE4D6"/>
        </patternFill>
      </fill>
    </dxf>
    <dxf>
      <fill>
        <patternFill>
          <bgColor rgb="FFE7E6E6"/>
        </patternFill>
      </fill>
    </dxf>
    <dxf>
      <fill>
        <patternFill patternType="solid">
          <fgColor rgb="FFFDE9D9"/>
          <bgColor rgb="FF000000"/>
        </patternFill>
      </fill>
    </dxf>
    <dxf>
      <fill>
        <patternFill patternType="solid">
          <fgColor rgb="FFC6E0B4"/>
          <bgColor rgb="FF000000"/>
        </patternFill>
      </fill>
    </dxf>
    <dxf>
      <fill>
        <patternFill patternType="solid">
          <fgColor rgb="FFF4B6B0"/>
          <bgColor rgb="FF000000"/>
        </patternFill>
      </fill>
    </dxf>
    <dxf>
      <fill>
        <patternFill patternType="solid">
          <fgColor rgb="FFFFE699"/>
          <bgColor rgb="FF000000"/>
        </patternFill>
      </fill>
    </dxf>
    <dxf>
      <fill>
        <patternFill>
          <bgColor rgb="FFF4B6B0"/>
        </patternFill>
      </fill>
    </dxf>
    <dxf>
      <fill>
        <patternFill>
          <bgColor rgb="FFFFE699"/>
        </patternFill>
      </fill>
    </dxf>
    <dxf>
      <fill>
        <patternFill>
          <bgColor rgb="FFC6E0B4"/>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6E0B4"/>
      <rgbColor rgb="FF808080"/>
      <rgbColor rgb="FF9999FF"/>
      <rgbColor rgb="FF993366"/>
      <rgbColor rgb="FFFFF2CC"/>
      <rgbColor rgb="FFE7E6E6"/>
      <rgbColor rgb="FF660066"/>
      <rgbColor rgb="FFFF8080"/>
      <rgbColor rgb="FF0066CC"/>
      <rgbColor rgb="FFC9CED6"/>
      <rgbColor rgb="FF000080"/>
      <rgbColor rgb="FFFF00FF"/>
      <rgbColor rgb="FFFFFF00"/>
      <rgbColor rgb="FF00FFFF"/>
      <rgbColor rgb="FF800080"/>
      <rgbColor rgb="FF800000"/>
      <rgbColor rgb="FF008080"/>
      <rgbColor rgb="FF0000FF"/>
      <rgbColor rgb="FF00CCFF"/>
      <rgbColor rgb="FFFCE4D6"/>
      <rgbColor rgb="FFFDE9D9"/>
      <rgbColor rgb="FFFFE699"/>
      <rgbColor rgb="FF99CCFF"/>
      <rgbColor rgb="FFFF99CC"/>
      <rgbColor rgb="FFCC99FF"/>
      <rgbColor rgb="FFF4B6B0"/>
      <rgbColor rgb="FF3366FF"/>
      <rgbColor rgb="FF33CCCC"/>
      <rgbColor rgb="FF99CC00"/>
      <rgbColor rgb="FFFFCC00"/>
      <rgbColor rgb="FFFF9900"/>
      <rgbColor rgb="FFFF6600"/>
      <rgbColor rgb="FF555555"/>
      <rgbColor rgb="FF969696"/>
      <rgbColor rgb="FF1F3A5F"/>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E3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25" min="1" max="1"/>
    <col width="16" customWidth="1" style="25" min="2" max="4"/>
    <col width="50" customWidth="1" style="25" min="5" max="5"/>
  </cols>
  <sheetData>
    <row r="1" ht="19.5" customHeight="1" s="26">
      <c r="A1" s="27" t="inlineStr">
        <is>
          <t>PULSE – Registro di decisioni, requisiti e rischi</t>
        </is>
      </c>
    </row>
    <row r="2" ht="15" customHeight="1" s="26">
      <c r="A2" s="28" t="inlineStr">
        <is>
          <t>Giuliano Pennacchio · Giuseppe Parisi — aggiornare a ogni decisione presa, anche lavorando da soli</t>
        </is>
      </c>
    </row>
    <row r="4" ht="15" customHeight="1" s="26">
      <c r="A4" s="29" t="inlineStr">
        <is>
          <t>Come si usa</t>
        </is>
      </c>
    </row>
    <row r="5" ht="27.75" customHeight="1" s="26">
      <c r="A5" s="30" t="inlineStr">
        <is>
          <t>1. Prima di aprire il file</t>
        </is>
      </c>
      <c r="B5" s="31" t="inlineStr">
        <is>
          <t>git pull: il file Excel non si unisce automaticamente, quindi lo modifica una persona alla volta.</t>
        </is>
      </c>
    </row>
    <row r="6" ht="27.75" customHeight="1" s="26">
      <c r="A6" s="30" t="inlineStr">
        <is>
          <t>2. Nuova decisione</t>
        </is>
      </c>
      <c r="B6" s="31" t="inlineStr">
        <is>
          <t>Una riga nel foglio Decisioni, con ID progressivo (D-032, D-033…) e stato "Proposta".</t>
        </is>
      </c>
    </row>
    <row r="7" ht="27.75" customHeight="1" s="26">
      <c r="A7" s="30" t="inlineStr">
        <is>
          <t>3. Revisione</t>
        </is>
      </c>
      <c r="B7" s="31" t="inlineStr">
        <is>
          <t>L'altro la legge e la porta ad "Approvata", oppure la discute. Le decisioni prese insieme nascono "Approvata".</t>
        </is>
      </c>
    </row>
    <row r="8" ht="27.75" customHeight="1" s="26">
      <c r="A8" s="30" t="inlineStr">
        <is>
          <t>4. Cambiare idea</t>
        </is>
      </c>
      <c r="B8" s="31" t="inlineStr">
        <is>
          <t>Non cancellare mai una riga: metti "Superata" e scrivi l'ID della nuova in "Superata da".</t>
        </is>
      </c>
    </row>
    <row r="9" ht="27.75" customHeight="1" s="26">
      <c r="A9" s="30" t="inlineStr">
        <is>
          <t>5. Collegamenti</t>
        </is>
      </c>
      <c r="B9" s="31" t="inlineStr">
        <is>
          <t>Ogni decisione indica i requisiti (MR-, LR-, DR-) e i rischi (R-) che tocca; ogni requisito e rischio indica la decisione d'origine.</t>
        </is>
      </c>
    </row>
    <row r="10" ht="27.75" customHeight="1" s="26">
      <c r="A10" s="30" t="inlineStr">
        <is>
          <t>6. Dopo la modifica</t>
        </is>
      </c>
      <c r="B10" s="31" t="inlineStr">
        <is>
          <t>git commit + push subito, con messaggio tipo "registro: D-032 esposizione notturna".</t>
        </is>
      </c>
    </row>
    <row r="11" ht="27.75" customHeight="1" s="26">
      <c r="A11" s="30" t="inlineStr">
        <is>
          <t>Celle da compilare</t>
        </is>
      </c>
      <c r="B11" s="31" t="inlineStr">
        <is>
          <t>Tutte le colonne tranne "Criticità" nel foglio Rischi (calcolata = Probabilità × Impatto, 1–9). Le colonne con menu a tendina accettano solo i valori della lista.</t>
        </is>
      </c>
    </row>
    <row r="13" ht="15" customHeight="1" s="26">
      <c r="A13" s="32" t="inlineStr">
        <is>
          <t>Stati</t>
        </is>
      </c>
    </row>
    <row r="14" ht="15" customHeight="1" s="26">
      <c r="A14" s="33" t="inlineStr">
        <is>
          <t>Aperta</t>
        </is>
      </c>
      <c r="B14" s="34" t="inlineStr">
        <is>
          <t>Da decidere: domanda aperta, con le opzioni in discussione</t>
        </is>
      </c>
    </row>
    <row r="15" ht="15" customHeight="1" s="26">
      <c r="A15" s="35" t="inlineStr">
        <is>
          <t>Proposta</t>
        </is>
      </c>
      <c r="B15" s="34" t="inlineStr">
        <is>
          <t>Presa da uno dei due, in attesa che l'altro la veda</t>
        </is>
      </c>
    </row>
    <row r="16" ht="15" customHeight="1" s="26">
      <c r="A16" s="36" t="inlineStr">
        <is>
          <t>Approvata</t>
        </is>
      </c>
      <c r="B16" s="34" t="inlineStr">
        <is>
          <t>Vista da entrambi: è la baseline</t>
        </is>
      </c>
    </row>
    <row r="17" ht="15" customHeight="1" s="26">
      <c r="A17" s="37" t="inlineStr">
        <is>
          <t>Provvisoria</t>
        </is>
      </c>
      <c r="B17" s="34" t="inlineStr">
        <is>
          <t>Vale finché un passo successivo non la conferma</t>
        </is>
      </c>
    </row>
    <row r="18" ht="15" customHeight="1" s="26">
      <c r="A18" s="38" t="inlineStr">
        <is>
          <t>Superata</t>
        </is>
      </c>
      <c r="B18" s="34" t="inlineStr">
        <is>
          <t>Sostituita da un'altra decisione (vedi "Superata da")</t>
        </is>
      </c>
    </row>
    <row r="20" ht="15" customHeight="1" s="26">
      <c r="A20" s="32" t="inlineStr">
        <is>
          <t>Riepilogo decisioni</t>
        </is>
      </c>
    </row>
    <row r="21" ht="15" customHeight="1" s="26">
      <c r="A21" s="39" t="inlineStr">
        <is>
          <t>Stato</t>
        </is>
      </c>
      <c r="B21" s="39" t="inlineStr">
        <is>
          <t>Giuliano</t>
        </is>
      </c>
      <c r="C21" s="39" t="inlineStr">
        <is>
          <t>Giuseppe</t>
        </is>
      </c>
      <c r="D21" s="39" t="inlineStr">
        <is>
          <t>Entrambi</t>
        </is>
      </c>
      <c r="E21" s="39" t="inlineStr">
        <is>
          <t>Totale</t>
        </is>
      </c>
    </row>
    <row r="22" ht="15" customHeight="1" s="26">
      <c r="A22" s="40" t="inlineStr">
        <is>
          <t>Aperta</t>
        </is>
      </c>
      <c r="B22" s="41">
        <f>COUNTIFS(Decisioni!$L:$L,$A22,Decisioni!$D:$D,B$21)</f>
        <v/>
      </c>
      <c r="C22" s="41">
        <f>COUNTIFS(Decisioni!$L:$L,$A22,Decisioni!$D:$D,C$21)</f>
        <v/>
      </c>
      <c r="D22" s="41">
        <f>COUNTIFS(Decisioni!$L:$L,$A22,Decisioni!$D:$D,D$21)</f>
        <v/>
      </c>
      <c r="E22" s="42">
        <f>SUM(B22:D22)</f>
        <v/>
      </c>
    </row>
    <row r="23" ht="15" customHeight="1" s="26">
      <c r="A23" s="40" t="inlineStr">
        <is>
          <t>Proposta</t>
        </is>
      </c>
      <c r="B23" s="41">
        <f>COUNTIFS(Decisioni!$L:$L,$A23,Decisioni!$D:$D,B$21)</f>
        <v/>
      </c>
      <c r="C23" s="41">
        <f>COUNTIFS(Decisioni!$L:$L,$A23,Decisioni!$D:$D,C$21)</f>
        <v/>
      </c>
      <c r="D23" s="41">
        <f>COUNTIFS(Decisioni!$L:$L,$A23,Decisioni!$D:$D,D$21)</f>
        <v/>
      </c>
      <c r="E23" s="42">
        <f>SUM(B23:D23)</f>
        <v/>
      </c>
    </row>
    <row r="24" ht="15" customHeight="1" s="26">
      <c r="A24" s="40" t="inlineStr">
        <is>
          <t>Approvata</t>
        </is>
      </c>
      <c r="B24" s="41">
        <f>COUNTIFS(Decisioni!$L:$L,$A24,Decisioni!$D:$D,B$21)</f>
        <v/>
      </c>
      <c r="C24" s="41">
        <f>COUNTIFS(Decisioni!$L:$L,$A24,Decisioni!$D:$D,C$21)</f>
        <v/>
      </c>
      <c r="D24" s="41">
        <f>COUNTIFS(Decisioni!$L:$L,$A24,Decisioni!$D:$D,D$21)</f>
        <v/>
      </c>
      <c r="E24" s="42">
        <f>SUM(B24:D24)</f>
        <v/>
      </c>
    </row>
    <row r="25" ht="15" customHeight="1" s="26">
      <c r="A25" s="40" t="inlineStr">
        <is>
          <t>Provvisoria</t>
        </is>
      </c>
      <c r="B25" s="41">
        <f>COUNTIFS(Decisioni!$L:$L,$A25,Decisioni!$D:$D,B$21)</f>
        <v/>
      </c>
      <c r="C25" s="41">
        <f>COUNTIFS(Decisioni!$L:$L,$A25,Decisioni!$D:$D,C$21)</f>
        <v/>
      </c>
      <c r="D25" s="41">
        <f>COUNTIFS(Decisioni!$L:$L,$A25,Decisioni!$D:$D,D$21)</f>
        <v/>
      </c>
      <c r="E25" s="42">
        <f>SUM(B25:D25)</f>
        <v/>
      </c>
    </row>
    <row r="26" ht="15" customHeight="1" s="26">
      <c r="A26" s="40" t="inlineStr">
        <is>
          <t>Superata</t>
        </is>
      </c>
      <c r="B26" s="41">
        <f>COUNTIFS(Decisioni!$L:$L,$A26,Decisioni!$D:$D,B$21)</f>
        <v/>
      </c>
      <c r="C26" s="41">
        <f>COUNTIFS(Decisioni!$L:$L,$A26,Decisioni!$D:$D,C$21)</f>
        <v/>
      </c>
      <c r="D26" s="41">
        <f>COUNTIFS(Decisioni!$L:$L,$A26,Decisioni!$D:$D,D$21)</f>
        <v/>
      </c>
      <c r="E26" s="42">
        <f>SUM(B26:D26)</f>
        <v/>
      </c>
    </row>
    <row r="27" ht="15" customHeight="1" s="26">
      <c r="A27" s="40" t="inlineStr">
        <is>
          <t>Totale</t>
        </is>
      </c>
      <c r="B27" s="40">
        <f>SUM(B22:B26)</f>
        <v/>
      </c>
      <c r="C27" s="40">
        <f>SUM(C22:C26)</f>
        <v/>
      </c>
      <c r="D27" s="40">
        <f>SUM(D22:D26)</f>
        <v/>
      </c>
      <c r="E27" s="42">
        <f>SUM(E22:E26)</f>
        <v/>
      </c>
    </row>
    <row r="29" ht="15" customHeight="1" s="26">
      <c r="A29" s="32" t="inlineStr">
        <is>
          <t>Riepilogo requisiti e rischi</t>
        </is>
      </c>
    </row>
    <row r="30" ht="15" customHeight="1" s="26">
      <c r="A30" s="34" t="inlineStr">
        <is>
          <t>Requisiti approvati</t>
        </is>
      </c>
      <c r="B30" s="43">
        <f>COUNTIF(Requisiti!$F:$F,"Approvato")</f>
        <v/>
      </c>
    </row>
    <row r="31" ht="15" customHeight="1" s="26">
      <c r="A31" s="34" t="inlineStr">
        <is>
          <t>Requisiti TBC / TBD</t>
        </is>
      </c>
      <c r="B31" s="43">
        <f>COUNTIF(Requisiti!$F:$F,"TBC")+COUNTIF(Requisiti!$F:$F,"TBD")</f>
        <v/>
      </c>
    </row>
    <row r="32" ht="15" customHeight="1" s="26">
      <c r="A32" s="34" t="inlineStr">
        <is>
          <t>Rischi non chiusi</t>
        </is>
      </c>
      <c r="B32" s="43">
        <f>COUNTA(Rischi!$A$2:$A$500)-COUNTIF(Rischi!$K:$K,"Chiuso")</f>
        <v/>
      </c>
    </row>
    <row r="33" ht="15" customHeight="1" s="26">
      <c r="A33" s="34" t="inlineStr">
        <is>
          <t>Rischi con criticità ≥ 6</t>
        </is>
      </c>
      <c r="B33" s="43">
        <f>COUNTIF(Rischi!$F$2:$F$500,"&gt;=6")</f>
        <v/>
      </c>
    </row>
    <row r="34" ht="15" customHeight="1" s="26">
      <c r="A34" s="34" t="inlineStr">
        <is>
          <t>Rischi senza probabilità</t>
        </is>
      </c>
      <c r="B34" s="43">
        <f>COUNTIFS(Rischi!$A$2:$A$500,"&lt;&gt;",Rischi!$D$2:$D$500,"")</f>
        <v/>
      </c>
    </row>
    <row r="36" ht="42" customHeight="1" s="26">
      <c r="A36" s="30" t="inlineStr">
        <is>
          <t>Fonti delle righe precompilate</t>
        </is>
      </c>
      <c r="B36" s="31" t="inlineStr">
        <is>
          <t>Report MDR (Fase 0), Report A1-A1bis, Report A2, Report A3 e prompt di passaggio del progetto. Le date di Fase 0 sono quelle della Guida (1 ottobre 2026); l'autore delle decisioni passate è "Entrambi": correggete dove serve.</t>
        </is>
      </c>
    </row>
  </sheetData>
  <mergeCells count="13">
    <mergeCell ref="B17:E17"/>
    <mergeCell ref="B9:E9"/>
    <mergeCell ref="B18:E18"/>
    <mergeCell ref="B8:E8"/>
    <mergeCell ref="B6:E6"/>
    <mergeCell ref="B16:E16"/>
    <mergeCell ref="B15:E15"/>
    <mergeCell ref="B7:E7"/>
    <mergeCell ref="B11:E11"/>
    <mergeCell ref="B5:E5"/>
    <mergeCell ref="B10:E10"/>
    <mergeCell ref="B36:E36"/>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O12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8" customWidth="1" style="25" min="1" max="1"/>
    <col width="11" customWidth="1" style="25" min="2" max="2"/>
    <col width="10" customWidth="1" style="25" min="3" max="3"/>
    <col width="11" customWidth="1" style="25" min="4" max="4"/>
    <col width="13" customWidth="1" style="25" min="5" max="5"/>
    <col width="42" customWidth="1" style="25" min="6" max="6"/>
    <col width="34" customWidth="1" style="25" min="7" max="7"/>
    <col width="42" customWidth="1" style="25" min="8" max="8"/>
    <col width="24" customWidth="1" style="25" min="9" max="9"/>
    <col width="14" customWidth="1" style="25" min="10" max="11"/>
    <col width="12" customWidth="1" style="25" min="12" max="12"/>
    <col width="10" customWidth="1" style="25" min="13" max="13"/>
    <col width="26" customWidth="1" style="25" min="14" max="14"/>
    <col width="24" customWidth="1" style="25" min="15" max="15"/>
  </cols>
  <sheetData>
    <row r="1" ht="30" customHeight="1" s="26">
      <c r="A1" s="44" t="inlineStr">
        <is>
          <t>ID</t>
        </is>
      </c>
      <c r="B1" s="44" t="inlineStr">
        <is>
          <t>Data</t>
        </is>
      </c>
      <c r="C1" s="44" t="inlineStr">
        <is>
          <t>Fase / passo</t>
        </is>
      </c>
      <c r="D1" s="44" t="inlineStr">
        <is>
          <t>Autore</t>
        </is>
      </c>
      <c r="E1" s="44" t="inlineStr">
        <is>
          <t>Area</t>
        </is>
      </c>
      <c r="F1" s="44" t="inlineStr">
        <is>
          <t>Decisione</t>
        </is>
      </c>
      <c r="G1" s="44" t="inlineStr">
        <is>
          <t>Opzioni scartate</t>
        </is>
      </c>
      <c r="H1" s="44" t="inlineStr">
        <is>
          <t>Motivo</t>
        </is>
      </c>
      <c r="I1" s="44" t="inlineStr">
        <is>
          <t>Impatto su</t>
        </is>
      </c>
      <c r="J1" s="44" t="inlineStr">
        <is>
          <t>Requisiti collegati</t>
        </is>
      </c>
      <c r="K1" s="44" t="inlineStr">
        <is>
          <t>Rischi collegati</t>
        </is>
      </c>
      <c r="L1" s="44" t="inlineStr">
        <is>
          <t>Stato</t>
        </is>
      </c>
      <c r="M1" s="44" t="inlineStr">
        <is>
          <t>Superata da</t>
        </is>
      </c>
      <c r="N1" s="44" t="inlineStr">
        <is>
          <t>Riferimento</t>
        </is>
      </c>
      <c r="O1" s="44" t="inlineStr">
        <is>
          <t>Note</t>
        </is>
      </c>
    </row>
    <row r="2" ht="34.5" customHeight="1" s="26">
      <c r="A2" s="47" t="inlineStr">
        <is>
          <t>D-001</t>
        </is>
      </c>
      <c r="B2" s="48" t="n">
        <v>46296</v>
      </c>
      <c r="C2" s="47" t="inlineStr">
        <is>
          <t>Fase 0</t>
        </is>
      </c>
      <c r="D2" s="47" t="inlineStr">
        <is>
          <t>Entrambi</t>
        </is>
      </c>
      <c r="E2" s="47" t="inlineStr">
        <is>
          <t>Missione</t>
        </is>
      </c>
      <c r="F2" s="47" t="inlineStr">
        <is>
          <t>Utente di riferimento: Protezione Civile italiana</t>
        </is>
      </c>
      <c r="G2" s="47" t="inlineStr">
        <is>
          <t>—</t>
        </is>
      </c>
      <c r="H2" s="47" t="inlineStr">
        <is>
          <t>Utente reale con bisogno di mappe rapide; confronto con Copernicus EMS e International Charter</t>
        </is>
      </c>
      <c r="I2" s="47" t="inlineStr">
        <is>
          <t>Tutti i requisiti</t>
        </is>
      </c>
      <c r="J2" s="47" t="n"/>
      <c r="K2" s="47" t="n"/>
      <c r="L2" s="47" t="inlineStr">
        <is>
          <t>Approvata</t>
        </is>
      </c>
      <c r="M2" s="47" t="n"/>
      <c r="N2" s="47" t="inlineStr">
        <is>
          <t>Report MDR §2</t>
        </is>
      </c>
      <c r="O2" s="47" t="n"/>
    </row>
    <row r="3" ht="34.5" customHeight="1" s="26">
      <c r="A3" s="47" t="inlineStr">
        <is>
          <t>D-002</t>
        </is>
      </c>
      <c r="B3" s="48" t="n">
        <v>46296</v>
      </c>
      <c r="C3" s="47" t="inlineStr">
        <is>
          <t>Fase 0</t>
        </is>
      </c>
      <c r="D3" s="47" t="inlineStr">
        <is>
          <t>Entrambi</t>
        </is>
      </c>
      <c r="E3" s="47" t="inlineStr">
        <is>
          <t>Missione</t>
        </is>
      </c>
      <c r="F3" s="47" t="inlineStr">
        <is>
          <t>Eventi: di giorno danni a infrastrutture (terremoti, frane, crolli), alluvioni, incendi; di notte incendi, blackout, danni indiretti dalle luci</t>
        </is>
      </c>
      <c r="G3" s="47" t="inlineStr">
        <is>
          <t>Solo eventi a cielo sereno</t>
        </is>
      </c>
      <c r="H3" s="47" t="inlineStr">
        <is>
          <t>Le alluvioni sono il caso più frequente; il limite delle nuvole è dichiarato</t>
        </is>
      </c>
      <c r="I3" s="47" t="inlineStr">
        <is>
          <t>Payload, AI</t>
        </is>
      </c>
      <c r="J3" s="47" t="inlineStr">
        <is>
          <t>MR-06, MR-07, MR-08</t>
        </is>
      </c>
      <c r="K3" s="47" t="inlineStr">
        <is>
          <t>R-03, R-08</t>
        </is>
      </c>
      <c r="L3" s="47" t="inlineStr">
        <is>
          <t>Approvata</t>
        </is>
      </c>
      <c r="M3" s="47" t="n"/>
      <c r="N3" s="47" t="inlineStr">
        <is>
          <t>Report MDR §2, §4.6</t>
        </is>
      </c>
      <c r="O3" s="47" t="n"/>
    </row>
    <row r="4" ht="23.25" customHeight="1" s="26">
      <c r="A4" s="47" t="inlineStr">
        <is>
          <t>D-003</t>
        </is>
      </c>
      <c r="B4" s="48" t="n">
        <v>46296</v>
      </c>
      <c r="C4" s="47" t="inlineStr">
        <is>
          <t>Fase 0</t>
        </is>
      </c>
      <c r="D4" s="47" t="inlineStr">
        <is>
          <t>Entrambi</t>
        </is>
      </c>
      <c r="E4" s="47" t="inlineStr">
        <is>
          <t>Missione</t>
        </is>
      </c>
      <c r="F4" s="47" t="inlineStr">
        <is>
          <t>Area: tutta Italia, 5°E–20°E, 35°N–48°N</t>
        </is>
      </c>
      <c r="G4" s="47" t="inlineStr">
        <is>
          <t>Copertura globale</t>
        </is>
      </c>
      <c r="H4" s="47" t="inlineStr">
        <is>
          <t>Come EarthNext; dimensiona rete di terra e dati di riferimento</t>
        </is>
      </c>
      <c r="I4" s="47" t="inlineStr">
        <is>
          <t>Accessi, dati OSM/DEM</t>
        </is>
      </c>
      <c r="J4" s="47" t="inlineStr">
        <is>
          <t>MR-01</t>
        </is>
      </c>
      <c r="K4" s="47" t="n"/>
      <c r="L4" s="47" t="inlineStr">
        <is>
          <t>Approvata</t>
        </is>
      </c>
      <c r="M4" s="47" t="n"/>
      <c r="N4" s="47" t="inlineStr">
        <is>
          <t>Report MDR §2</t>
        </is>
      </c>
      <c r="O4" s="47" t="n"/>
    </row>
    <row r="5" ht="34.5" customHeight="1" s="26">
      <c r="A5" s="47" t="inlineStr">
        <is>
          <t>D-004</t>
        </is>
      </c>
      <c r="B5" s="48" t="n">
        <v>46296</v>
      </c>
      <c r="C5" s="47" t="inlineStr">
        <is>
          <t>Fase 0</t>
        </is>
      </c>
      <c r="D5" s="47" t="inlineStr">
        <is>
          <t>Entrambi</t>
        </is>
      </c>
      <c r="E5" s="47" t="inlineStr">
        <is>
          <t>Payload</t>
        </is>
      </c>
      <c r="F5" s="47" t="inlineStr">
        <is>
          <t>Livello di dettaglio: infrastrutture e crolli estesi (ponti, strade, isolati), non singoli edifici; 16U a ~1–1,5 m</t>
        </is>
      </c>
      <c r="G5" s="47" t="inlineStr">
        <is>
          <t>Microsatellite 50–150 kg per &lt; 0,5 m; quota ~250 km</t>
        </is>
      </c>
      <c r="H5" s="47" t="inlineStr">
        <is>
          <t>Con 12 cm di apertura il limite di diffrazione a 302 km è 1,7 m; per 0,5 m servirebbero ~40 cm</t>
        </is>
      </c>
      <c r="I5" s="47" t="inlineStr">
        <is>
          <t>Ottica</t>
        </is>
      </c>
      <c r="J5" s="47" t="inlineStr">
        <is>
          <t>MR-03</t>
        </is>
      </c>
      <c r="K5" s="47" t="inlineStr">
        <is>
          <t>R-01</t>
        </is>
      </c>
      <c r="L5" s="47" t="inlineStr">
        <is>
          <t>Approvata</t>
        </is>
      </c>
      <c r="M5" s="47" t="n"/>
      <c r="N5" s="47" t="inlineStr">
        <is>
          <t>Report MDR §4.1</t>
        </is>
      </c>
      <c r="O5" s="47" t="n"/>
    </row>
    <row r="6" ht="23.25" customHeight="1" s="26">
      <c r="A6" s="47" t="inlineStr">
        <is>
          <t>D-005</t>
        </is>
      </c>
      <c r="B6" s="48" t="n">
        <v>46296</v>
      </c>
      <c r="C6" s="47" t="inlineStr">
        <is>
          <t>Fase 0</t>
        </is>
      </c>
      <c r="D6" s="47" t="inlineStr">
        <is>
          <t>Entrambi</t>
        </is>
      </c>
      <c r="E6" s="47" t="inlineStr">
        <is>
          <t>Missione</t>
        </is>
      </c>
      <c r="F6" s="47" t="inlineStr">
        <is>
          <t>Tempo di risposta: mappa entro 48 h dalla richiesta</t>
        </is>
      </c>
      <c r="G6" s="47" t="inlineStr">
        <is>
          <t>6 h, 24 h, 72 h</t>
        </is>
      </c>
      <c r="H6" s="47" t="inlineStr">
        <is>
          <t>Utile ai soccorsi e credibile per una CubeSat in VLEO</t>
        </is>
      </c>
      <c r="I6" s="47" t="inlineStr">
        <is>
          <t>Numero satelliti, rete di terra</t>
        </is>
      </c>
      <c r="J6" s="47" t="inlineStr">
        <is>
          <t>MR-02</t>
        </is>
      </c>
      <c r="K6" s="47" t="inlineStr">
        <is>
          <t>R-08</t>
        </is>
      </c>
      <c r="L6" s="47" t="inlineStr">
        <is>
          <t>Approvata</t>
        </is>
      </c>
      <c r="M6" s="47" t="n"/>
      <c r="N6" s="47" t="inlineStr">
        <is>
          <t>Report MDR §2, §6</t>
        </is>
      </c>
      <c r="O6" s="47" t="n"/>
    </row>
    <row r="7" ht="23.25" customHeight="1" s="26">
      <c r="A7" s="47" t="inlineStr">
        <is>
          <t>D-006</t>
        </is>
      </c>
      <c r="B7" s="48" t="n">
        <v>46296</v>
      </c>
      <c r="C7" s="47" t="inlineStr">
        <is>
          <t>Fase 0</t>
        </is>
      </c>
      <c r="D7" s="47" t="inlineStr">
        <is>
          <t>Entrambi</t>
        </is>
      </c>
      <c r="E7" s="47" t="inlineStr">
        <is>
          <t>GNC</t>
        </is>
      </c>
      <c r="F7" s="47" t="inlineStr">
        <is>
          <t>Off-nadir: qualità nominale fino a 30°, puntamento fino a 45° in modalità degradata</t>
        </is>
      </c>
      <c r="G7" s="47" t="inlineStr">
        <is>
          <t>20° massimi; 45° nominali</t>
        </is>
      </c>
      <c r="H7" s="47" t="inlineStr">
        <is>
          <t>Compromesso tra frequenza degli accessi e risoluzione</t>
        </is>
      </c>
      <c r="I7" s="47" t="inlineStr">
        <is>
          <t>Accessi, GNC, ottica</t>
        </is>
      </c>
      <c r="J7" s="47" t="inlineStr">
        <is>
          <t>MR-05</t>
        </is>
      </c>
      <c r="K7" s="47" t="inlineStr">
        <is>
          <t>R-06</t>
        </is>
      </c>
      <c r="L7" s="47" t="inlineStr">
        <is>
          <t>Approvata</t>
        </is>
      </c>
      <c r="M7" s="47" t="n"/>
      <c r="N7" s="47" t="inlineStr">
        <is>
          <t>Report MDR</t>
        </is>
      </c>
      <c r="O7" s="47" t="n"/>
    </row>
    <row r="8" ht="23.25" customHeight="1" s="26">
      <c r="A8" s="47" t="inlineStr">
        <is>
          <t>D-007</t>
        </is>
      </c>
      <c r="B8" s="48" t="n">
        <v>46296</v>
      </c>
      <c r="C8" s="47" t="inlineStr">
        <is>
          <t>Fase 0</t>
        </is>
      </c>
      <c r="D8" s="47" t="inlineStr">
        <is>
          <t>Entrambi</t>
        </is>
      </c>
      <c r="E8" s="47" t="inlineStr">
        <is>
          <t>AI / Dati</t>
        </is>
      </c>
      <c r="F8" s="47" t="inlineStr">
        <is>
          <t>Prodotto: vettori georeferenziati (GIS) + ritaglio d'immagine per ogni allarme</t>
        </is>
      </c>
      <c r="G8" s="47" t="inlineStr">
        <is>
          <t>Immagini intere a terra</t>
        </is>
      </c>
      <c r="H8" s="47" t="inlineStr">
        <is>
          <t>Pochi kB per allarme: passano anche in S-band; si apre su tablet sul campo</t>
        </is>
      </c>
      <c r="I8" s="47" t="inlineStr">
        <is>
          <t>TT&amp;C, AI</t>
        </is>
      </c>
      <c r="J8" s="47" t="inlineStr">
        <is>
          <t>MR-09</t>
        </is>
      </c>
      <c r="K8" s="47" t="n"/>
      <c r="L8" s="47" t="inlineStr">
        <is>
          <t>Approvata</t>
        </is>
      </c>
      <c r="M8" s="47" t="n"/>
      <c r="N8" s="47" t="inlineStr">
        <is>
          <t>Report MDR §4.6</t>
        </is>
      </c>
      <c r="O8" s="47" t="n"/>
    </row>
    <row r="9" ht="34.5" customHeight="1" s="26">
      <c r="A9" s="47" t="inlineStr">
        <is>
          <t>D-008</t>
        </is>
      </c>
      <c r="B9" s="48" t="n">
        <v>46296</v>
      </c>
      <c r="C9" s="47" t="inlineStr">
        <is>
          <t>Fase 0</t>
        </is>
      </c>
      <c r="D9" s="47" t="inlineStr">
        <is>
          <t>Entrambi</t>
        </is>
      </c>
      <c r="E9" s="47" t="inlineStr">
        <is>
          <t>AI / Dati</t>
        </is>
      </c>
      <c r="F9" s="47" t="inlineStr">
        <is>
          <t>Riferimento "prima" a bordo: vettori OpenStreetMap + DEM (~670 MB a 30 m)</t>
        </is>
      </c>
      <c r="G9" s="47" t="inlineStr">
        <is>
          <t>Immagini delle zone a rischio a bordo; solo passaggio precedente (resta complemento)</t>
        </is>
      </c>
      <c r="H9" s="47" t="inlineStr">
        <is>
          <t>L'Italia a 1 m sarebbe centinaia di GB: non entra a bordo né si carica via radio</t>
        </is>
      </c>
      <c r="I9" s="47" t="inlineStr">
        <is>
          <t>Memoria di bordo, AI</t>
        </is>
      </c>
      <c r="J9" s="47" t="inlineStr">
        <is>
          <t>MR-10</t>
        </is>
      </c>
      <c r="K9" s="47" t="inlineStr">
        <is>
          <t>R-05</t>
        </is>
      </c>
      <c r="L9" s="47" t="inlineStr">
        <is>
          <t>Approvata</t>
        </is>
      </c>
      <c r="M9" s="47" t="n"/>
      <c r="N9" s="47" t="inlineStr">
        <is>
          <t>Report MDR §4.5</t>
        </is>
      </c>
      <c r="O9" s="47" t="inlineStr">
        <is>
          <t>A4 (D-065, Proposta): a bordo si aggiungono mappe notturne VIIRS e albedo a 100 m per la conferma dei blackout</t>
        </is>
      </c>
    </row>
    <row r="10" ht="23.25" customHeight="1" s="26">
      <c r="A10" s="47" t="inlineStr">
        <is>
          <t>D-009</t>
        </is>
      </c>
      <c r="B10" s="48" t="n">
        <v>46296</v>
      </c>
      <c r="C10" s="47" t="inlineStr">
        <is>
          <t>Fase 0</t>
        </is>
      </c>
      <c r="D10" s="47" t="inlineStr">
        <is>
          <t>Entrambi</t>
        </is>
      </c>
      <c r="E10" s="47" t="inlineStr">
        <is>
          <t>Missione</t>
        </is>
      </c>
      <c r="F10" s="47" t="inlineStr">
        <is>
          <t>Tipo di missione: dimostratore tecnologico su CubeSat 16U, ~2 anni operativi</t>
        </is>
      </c>
      <c r="G10" s="47" t="inlineStr">
        <is>
          <t>Missione operativa</t>
        </is>
      </c>
      <c r="H10" s="47" t="inlineStr">
        <is>
          <t>Coerente con EarthNext e con un progetto da portfolio</t>
        </is>
      </c>
      <c r="I10" s="47" t="inlineStr">
        <is>
          <t>Budget, ΔV</t>
        </is>
      </c>
      <c r="J10" s="47" t="inlineStr">
        <is>
          <t>MR-12, MR-13</t>
        </is>
      </c>
      <c r="K10" s="47" t="n"/>
      <c r="L10" s="47" t="inlineStr">
        <is>
          <t>Approvata</t>
        </is>
      </c>
      <c r="M10" s="47" t="n"/>
      <c r="N10" s="47" t="inlineStr">
        <is>
          <t>Report MDR §3</t>
        </is>
      </c>
      <c r="O10" s="47" t="n"/>
    </row>
    <row r="11" ht="34.5" customHeight="1" s="26">
      <c r="A11" s="47" t="inlineStr">
        <is>
          <t>D-010</t>
        </is>
      </c>
      <c r="B11" s="48" t="n">
        <v>46296</v>
      </c>
      <c r="C11" s="47" t="inlineStr">
        <is>
          <t>Fase 0</t>
        </is>
      </c>
      <c r="D11" s="47" t="inlineStr">
        <is>
          <t>Entrambi</t>
        </is>
      </c>
      <c r="E11" s="47" t="inlineStr">
        <is>
          <t>Payload</t>
        </is>
      </c>
      <c r="F11" s="47" t="inlineStr">
        <is>
          <t>Payload solo al silicio: CMOS diurno (PAN + RGB-NIR) + sCMOS notturno dual-gain con FMC e binning</t>
        </is>
      </c>
      <c r="G11" s="47" t="inlineStr">
        <is>
          <t>CMOS + InGaAs SWIR; tre sensori ottici; micro-SAR su 16U</t>
        </is>
      </c>
      <c r="H11" s="47" t="inlineStr">
        <is>
          <t>Vede incendi e blackout senza raffreddamento; SAR troppo costoso in potenza e cieco a blackout</t>
        </is>
      </c>
      <c r="I11" s="47" t="inlineStr">
        <is>
          <t>Ottica, potenza</t>
        </is>
      </c>
      <c r="J11" s="47" t="inlineStr">
        <is>
          <t>MR-03, MR-04</t>
        </is>
      </c>
      <c r="K11" s="47" t="inlineStr">
        <is>
          <t>R-02</t>
        </is>
      </c>
      <c r="L11" s="47" t="inlineStr">
        <is>
          <t>Approvata</t>
        </is>
      </c>
      <c r="M11" s="47" t="n"/>
      <c r="N11" s="47" t="inlineStr">
        <is>
          <t>Report MDR §4.2</t>
        </is>
      </c>
      <c r="O11" s="47" t="n"/>
    </row>
    <row r="12" ht="23.25" customHeight="1" s="26">
      <c r="A12" s="47" t="inlineStr">
        <is>
          <t>D-011</t>
        </is>
      </c>
      <c r="B12" s="48" t="n">
        <v>46296</v>
      </c>
      <c r="C12" s="47" t="inlineStr">
        <is>
          <t>Fase 0</t>
        </is>
      </c>
      <c r="D12" s="47" t="inlineStr">
        <is>
          <t>Entrambi</t>
        </is>
      </c>
      <c r="E12" s="47" t="inlineStr">
        <is>
          <t>Payload</t>
        </is>
      </c>
      <c r="F12" s="47" t="inlineStr">
        <is>
          <t>Risoluzione: ≤ 2 m PAN e ≤ 5 m multispettrale di giorno a nadir; ≤ 15 m di notte su aree illuminate</t>
        </is>
      </c>
      <c r="G12" s="47" t="inlineStr">
        <is>
          <t>GSD PAN &lt; 1 m con 12 cm</t>
        </is>
      </c>
      <c r="H12" s="47" t="inlineStr">
        <is>
          <t>Dettaglio reale ~2 m per diffrazione; sotto 1 m 4× meno luce e 4× più dati</t>
        </is>
      </c>
      <c r="I12" s="47" t="inlineStr">
        <is>
          <t>Ottica</t>
        </is>
      </c>
      <c r="J12" s="47" t="inlineStr">
        <is>
          <t>MR-03, MR-04</t>
        </is>
      </c>
      <c r="K12" s="47" t="n"/>
      <c r="L12" s="47" t="inlineStr">
        <is>
          <t>Approvata</t>
        </is>
      </c>
      <c r="M12" s="47" t="n"/>
      <c r="N12" s="47" t="inlineStr">
        <is>
          <t>Report MDR §4.1</t>
        </is>
      </c>
      <c r="O12" s="47" t="n"/>
    </row>
    <row r="13" ht="34.5" customHeight="1" s="26">
      <c r="A13" s="47" t="inlineStr">
        <is>
          <t>D-012</t>
        </is>
      </c>
      <c r="B13" s="48" t="n">
        <v>46296</v>
      </c>
      <c r="C13" s="47" t="inlineStr">
        <is>
          <t>Fase 0</t>
        </is>
      </c>
      <c r="D13" s="47" t="inlineStr">
        <is>
          <t>Entrambi</t>
        </is>
      </c>
      <c r="E13" s="47" t="inlineStr">
        <is>
          <t>Orbita</t>
        </is>
      </c>
      <c r="F13" s="47" t="inlineStr">
        <is>
          <t>Orbita come EarthNext: 302 km (SMA media 6680,2 km), SSO, LTDN 10:30, e = 0,0011, AOP 90°, inclinazione 96,8° (bias)</t>
        </is>
      </c>
      <c r="G13" s="47" t="inlineStr">
        <is>
          <t>Inclinazione 51,6° (non eliosincrona)</t>
        </is>
      </c>
      <c r="H13" s="47" t="inlineStr">
        <is>
          <t>Eredità EarthNext; il bias compensa la deriva solare di −0,33°/anno; ora locale stabile</t>
        </is>
      </c>
      <c r="I13" s="47" t="inlineStr">
        <is>
          <t>Accessi, ΔV</t>
        </is>
      </c>
      <c r="J13" s="47" t="inlineStr">
        <is>
          <t>MR-11</t>
        </is>
      </c>
      <c r="K13" s="47" t="n"/>
      <c r="L13" s="47" t="inlineStr">
        <is>
          <t>Approvata</t>
        </is>
      </c>
      <c r="M13" s="47" t="n"/>
      <c r="N13" s="47" t="inlineStr">
        <is>
          <t>Report MDR §4.3</t>
        </is>
      </c>
      <c r="O13" s="47" t="inlineStr">
        <is>
          <t>Lo 0,011 in una tabella del paper è un refuso | 30/10/2026 (D-103): il bias di 96,8° resta; la deriva vera è ~−0,05°/anno con oscillazione annua ±0,15° (GMAT), non −0,33°/anno; ora del nodo 10:30 → 9:56 in 2 anni</t>
        </is>
      </c>
    </row>
    <row r="14" ht="23.25" customHeight="1" s="26">
      <c r="A14" s="47" t="inlineStr">
        <is>
          <t>D-013</t>
        </is>
      </c>
      <c r="B14" s="48" t="n">
        <v>46296</v>
      </c>
      <c r="C14" s="47" t="inlineStr">
        <is>
          <t>Fase 0</t>
        </is>
      </c>
      <c r="D14" s="47" t="inlineStr">
        <is>
          <t>Entrambi</t>
        </is>
      </c>
      <c r="E14" s="47" t="inlineStr">
        <is>
          <t>AI / Dati</t>
        </is>
      </c>
      <c r="F14" s="47" t="inlineStr">
        <is>
          <t>Allarme blackout notturno solo se confermato, non "possibile"; metodo da trovare</t>
        </is>
      </c>
      <c r="G14" s="47" t="inlineStr">
        <is>
          <t>Allarme "possibile"</t>
        </is>
      </c>
      <c r="H14" s="47" t="inlineStr">
        <is>
          <t>Un falso blackout manda soccorsi nel posto sbagliato</t>
        </is>
      </c>
      <c r="I14" s="47" t="inlineStr">
        <is>
          <t>A4</t>
        </is>
      </c>
      <c r="J14" s="47" t="inlineStr">
        <is>
          <t>MR-07</t>
        </is>
      </c>
      <c r="K14" s="47" t="inlineStr">
        <is>
          <t>R-03</t>
        </is>
      </c>
      <c r="L14" s="47" t="inlineStr">
        <is>
          <t>Approvata</t>
        </is>
      </c>
      <c r="M14" s="47" t="n"/>
      <c r="N14" s="47" t="inlineStr">
        <is>
          <t>Report MDR §4.6</t>
        </is>
      </c>
      <c r="O14" s="47" t="inlineStr">
        <is>
          <t>Da chiudere in A4</t>
        </is>
      </c>
    </row>
    <row r="15" ht="34.5" customHeight="1" s="26">
      <c r="A15" s="47" t="inlineStr">
        <is>
          <t>D-014</t>
        </is>
      </c>
      <c r="B15" s="48" t="n">
        <v>46318</v>
      </c>
      <c r="C15" s="47" t="inlineStr">
        <is>
          <t>Fase 0</t>
        </is>
      </c>
      <c r="D15" s="47" t="inlineStr">
        <is>
          <t>Entrambi</t>
        </is>
      </c>
      <c r="E15" s="47" t="inlineStr">
        <is>
          <t>Missione</t>
        </is>
      </c>
      <c r="F15" s="47" t="inlineStr">
        <is>
          <t>Due concetti candidati in Fase A: C1 satellite singolo, C2 costellazione di 4 sullo stesso piano a 90°</t>
        </is>
      </c>
      <c r="G15" s="47" t="inlineStr">
        <is>
          <t>Scelta del concetto già in Fase 0</t>
        </is>
      </c>
      <c r="H15" s="47" t="inlineStr">
        <is>
          <t>Stima di primo ordine: attesa media ~65 h con 1 satellite, ~16 h con 4 (30°); serve la propagazione</t>
        </is>
      </c>
      <c r="I15" s="47" t="inlineStr">
        <is>
          <t>A1</t>
        </is>
      </c>
      <c r="J15" s="47" t="inlineStr">
        <is>
          <t>MR-02</t>
        </is>
      </c>
      <c r="K15" s="47" t="inlineStr">
        <is>
          <t>R-10</t>
        </is>
      </c>
      <c r="L15" s="47" t="inlineStr">
        <is>
          <t>Superata</t>
        </is>
      </c>
      <c r="M15" s="47" t="inlineStr">
        <is>
          <t>D-015</t>
        </is>
      </c>
      <c r="N15" s="47" t="inlineStr">
        <is>
          <t>Report MDR §4.4, §5</t>
        </is>
      </c>
      <c r="O15" s="47" t="inlineStr">
        <is>
          <t>Chiusura MDR</t>
        </is>
      </c>
    </row>
    <row r="16" ht="34.5" customHeight="1" s="26">
      <c r="A16" s="47" t="inlineStr">
        <is>
          <t>D-015</t>
        </is>
      </c>
      <c r="B16" s="48" t="n">
        <v>46299</v>
      </c>
      <c r="C16" s="47" t="inlineStr">
        <is>
          <t>A1</t>
        </is>
      </c>
      <c r="D16" s="47" t="inlineStr">
        <is>
          <t>Entrambi</t>
        </is>
      </c>
      <c r="E16" s="47" t="inlineStr">
        <is>
          <t>Missione</t>
        </is>
      </c>
      <c r="F16" s="47" t="inlineStr">
        <is>
          <t>Concetto scelto: C2, costellazione di 4 CubeSat 16U sullo stesso piano SSO, anomalia media 0°/90°/180°/270° (opzione I3)</t>
        </is>
      </c>
      <c r="G16" s="47" t="inlineStr">
        <is>
          <t>I1 rilassare il requisito; I2 45° nominali; I4 cambiare orbita; due piani opposti; inclinazione 51,6°</t>
        </is>
      </c>
      <c r="H16" s="47" t="inlineStr">
        <is>
          <t>Satellite singolo: entro 48 h solo nel 34–82% dei casi (serve 90%). Con 4: 100% entro 48 h a 30° giorno+notte, mediana 14–18 h</t>
        </is>
      </c>
      <c r="I16" s="47" t="inlineStr">
        <is>
          <t>ΔV, lancio, costi, operazioni</t>
        </is>
      </c>
      <c r="J16" s="47" t="inlineStr">
        <is>
          <t>MR-02, MR-11</t>
        </is>
      </c>
      <c r="K16" s="47" t="inlineStr">
        <is>
          <t>R-10</t>
        </is>
      </c>
      <c r="L16" s="47" t="inlineStr">
        <is>
          <t>Approvata</t>
        </is>
      </c>
      <c r="M16" s="47" t="n"/>
      <c r="N16" s="47" t="inlineStr">
        <is>
          <t>Report A1-A1bis Parte 1–2</t>
        </is>
      </c>
      <c r="O16" s="47" t="n"/>
    </row>
    <row r="17" ht="23.25" customHeight="1" s="26">
      <c r="A17" s="47" t="inlineStr">
        <is>
          <t>D-016</t>
        </is>
      </c>
      <c r="B17" s="48" t="n">
        <v>46299</v>
      </c>
      <c r="C17" s="47" t="inlineStr">
        <is>
          <t>A1</t>
        </is>
      </c>
      <c r="D17" s="47" t="inlineStr">
        <is>
          <t>Entrambi</t>
        </is>
      </c>
      <c r="E17" s="47" t="inlineStr">
        <is>
          <t>TT&amp;C / Terra</t>
        </is>
      </c>
      <c r="F17" s="47" t="inlineStr">
        <is>
          <t>Rete di terra: Svalbard + Fairbanks principali, Fucino riserva e comandi (elevazione minima 10°)</t>
        </is>
      </c>
      <c r="G17" s="47" t="inlineStr">
        <is>
          <t>Fucino + Matera + Svalbard (buco notturno 12,1 h)</t>
        </is>
      </c>
      <c r="H17" s="47" t="inlineStr">
        <is>
          <t>Fairbanks chiude il buco notturno: buco massimo 8,8 h per satellite, 7,0 h per la costellazione</t>
        </is>
      </c>
      <c r="I17" s="47" t="inlineStr">
        <is>
          <t>Link budget, latenza</t>
        </is>
      </c>
      <c r="J17" s="47" t="inlineStr">
        <is>
          <t>MR-02</t>
        </is>
      </c>
      <c r="K17" s="47" t="n"/>
      <c r="L17" s="47" t="inlineStr">
        <is>
          <t>Approvata</t>
        </is>
      </c>
      <c r="M17" s="47" t="n"/>
      <c r="N17" s="47" t="inlineStr">
        <is>
          <t>Report A1-A1bis Parte 2</t>
        </is>
      </c>
      <c r="O17" s="47" t="inlineStr">
        <is>
          <t>30/10/2026 (A5.5.3, D-068): Fucino è in vista durante il 100% delle riprese sull'Italia; il suo uso per i comandi nello stesso passaggio dipende dalla geometria antenna–bersaglio (TBC). | 30/10/2026: D-081 (Proposta, A5.P3) propone che Fucino riceva anche gli allarmi urgenti nello stesso passaggio della ripresa | 30/10/2026 (D-081, G2): Fucino riceve anche gli allarmi diurni urgenti quando la finestra lo permette.</t>
        </is>
      </c>
    </row>
    <row r="18" ht="23.25" customHeight="1" s="26">
      <c r="A18" s="47" t="inlineStr">
        <is>
          <t>D-017</t>
        </is>
      </c>
      <c r="B18" s="48" t="n">
        <v>46299</v>
      </c>
      <c r="C18" s="47" t="inlineStr">
        <is>
          <t>A1</t>
        </is>
      </c>
      <c r="D18" s="47" t="inlineStr">
        <is>
          <t>Entrambi</t>
        </is>
      </c>
      <c r="E18" s="47" t="inlineStr">
        <is>
          <t>Missione</t>
        </is>
      </c>
      <c r="F18" s="47" t="inlineStr">
        <is>
          <t>Nuova formulazione di MR-02 (48 h nel 90% delle richieste; di giorno ammesso fino a 45°)</t>
        </is>
      </c>
      <c r="G18" s="47" t="inlineStr">
        <is>
          <t>48 h nel 90% solo a 30°</t>
        </is>
      </c>
      <c r="H18" s="47" t="inlineStr">
        <is>
          <t>Solo diurno a 30° si arriva all'89,6–93,3%; a 45° al 100%</t>
        </is>
      </c>
      <c r="I18" s="47" t="inlineStr">
        <is>
          <t>GNC, ottica</t>
        </is>
      </c>
      <c r="J18" s="47" t="inlineStr">
        <is>
          <t>MR-02</t>
        </is>
      </c>
      <c r="K18" s="47" t="n"/>
      <c r="L18" s="47" t="inlineStr">
        <is>
          <t>Approvata</t>
        </is>
      </c>
      <c r="M18" s="47" t="n"/>
      <c r="N18" s="47" t="inlineStr">
        <is>
          <t>Report A1-A1bis Parte 2</t>
        </is>
      </c>
      <c r="O18" s="47" t="n"/>
    </row>
    <row r="19" ht="23.25" customHeight="1" s="26">
      <c r="A19" s="47" t="inlineStr">
        <is>
          <t>D-018</t>
        </is>
      </c>
      <c r="B19" s="48" t="n">
        <v>46299</v>
      </c>
      <c r="C19" s="47" t="inlineStr">
        <is>
          <t>A1-bis</t>
        </is>
      </c>
      <c r="D19" s="47" t="inlineStr">
        <is>
          <t>Entrambi</t>
        </is>
      </c>
      <c r="E19" s="47" t="inlineStr">
        <is>
          <t>Lancio</t>
        </is>
      </c>
      <c r="F19" s="47" t="inlineStr">
        <is>
          <t>Rilascio dal lanciatore (o rimorchiatore) già sul piano SSO a 96,8°, LTDN ~10:30, a ~360 km</t>
        </is>
      </c>
      <c r="G19" s="47" t="inlineStr">
        <is>
          <t>Rilascio a 500 km con discesa impulsiva (111,9 m/s): resta piano B</t>
        </is>
      </c>
      <c r="H19" s="47" t="inlineStr">
        <is>
          <t>Nessun ΔV per il piano; la discesa da 360 km costa solo ~28 m/s</t>
        </is>
      </c>
      <c r="I19" s="47" t="inlineStr">
        <is>
          <t>Propulsione, programma</t>
        </is>
      </c>
      <c r="J19" s="47" t="inlineStr">
        <is>
          <t>LR-01</t>
        </is>
      </c>
      <c r="K19" s="47" t="inlineStr">
        <is>
          <t>R-11</t>
        </is>
      </c>
      <c r="L19" s="47" t="inlineStr">
        <is>
          <t>Approvata</t>
        </is>
      </c>
      <c r="M19" s="47" t="n"/>
      <c r="N19" s="47" t="inlineStr">
        <is>
          <t>Report A1-A1bis Parte 3</t>
        </is>
      </c>
      <c r="O19" s="47" t="inlineStr">
        <is>
          <t>Tolleranze di lancio da definire</t>
        </is>
      </c>
    </row>
    <row r="20" ht="34.5" customHeight="1" s="26">
      <c r="A20" s="47" t="inlineStr">
        <is>
          <t>D-019</t>
        </is>
      </c>
      <c r="B20" s="48" t="n">
        <v>46299</v>
      </c>
      <c r="C20" s="47" t="inlineStr">
        <is>
          <t>A1-bis</t>
        </is>
      </c>
      <c r="D20" s="47" t="inlineStr">
        <is>
          <t>Entrambi</t>
        </is>
      </c>
      <c r="E20" s="47" t="inlineStr">
        <is>
          <t>Orbita</t>
        </is>
      </c>
      <c r="F20" s="47" t="inlineStr">
        <is>
          <t>Phasing con discese scaglionate, senza manovre dedicate: ritardi B 1,37 g, C 2,74 g, D 4,10 g</t>
        </is>
      </c>
      <c r="G20" s="47" t="inlineStr">
        <is>
          <t>Manovre di phasing dedicate</t>
        </is>
      </c>
      <c r="H20" s="47" t="inlineStr">
        <is>
          <t>Ogni giorno di ritardo vale ~66° di distanza; costellazione completa in ~42 giorni con 2 m/s di ritocco</t>
        </is>
      </c>
      <c r="I20" s="47" t="inlineStr">
        <is>
          <t>Operazioni di commissioning</t>
        </is>
      </c>
      <c r="J20" s="47" t="inlineStr">
        <is>
          <t>MR-11</t>
        </is>
      </c>
      <c r="K20" s="47" t="n"/>
      <c r="L20" s="47" t="inlineStr">
        <is>
          <t>Approvata</t>
        </is>
      </c>
      <c r="M20" s="47" t="n"/>
      <c r="N20" s="47" t="inlineStr">
        <is>
          <t>Report A1-A1bis Parte 3</t>
        </is>
      </c>
      <c r="O20" s="47" t="inlineStr">
        <is>
          <t>Distanza stabile entro ±0,2° in mantenimento</t>
        </is>
      </c>
    </row>
    <row r="21" ht="23.25" customHeight="1" s="26">
      <c r="A21" s="47" t="inlineStr">
        <is>
          <t>D-020</t>
        </is>
      </c>
      <c r="B21" s="48" t="n">
        <v>46301</v>
      </c>
      <c r="C21" s="47" t="inlineStr">
        <is>
          <t>A1-bis</t>
        </is>
      </c>
      <c r="D21" s="47" t="inlineStr">
        <is>
          <t>Entrambi</t>
        </is>
      </c>
      <c r="E21" s="47" t="inlineStr">
        <is>
          <t>Missione</t>
        </is>
      </c>
      <c r="F21" s="47" t="inlineStr">
        <is>
          <t>Durata di progetto 2 anni con attività solare media (F10.7 = 129); caso alto solo come sensibilità</t>
        </is>
      </c>
      <c r="G21" s="47" t="inlineStr">
        <is>
          <t>Caso alto F10.7 = 181 come riferimento (464 m/s)</t>
        </is>
      </c>
      <c r="H21" s="47" t="inlineStr">
        <is>
          <t>Caso medio coerente con EarthNext (~6 mesi di discesa naturale)</t>
        </is>
      </c>
      <c r="I21" s="47" t="inlineStr">
        <is>
          <t>ΔV, massa</t>
        </is>
      </c>
      <c r="J21" s="47" t="inlineStr">
        <is>
          <t>MR-12</t>
        </is>
      </c>
      <c r="K21" s="47" t="inlineStr">
        <is>
          <t>R-12</t>
        </is>
      </c>
      <c r="L21" s="47" t="inlineStr">
        <is>
          <t>Approvata</t>
        </is>
      </c>
      <c r="M21" s="47" t="n"/>
      <c r="N21" s="47" t="inlineStr">
        <is>
          <t>Report A1-A1bis Parte 3</t>
        </is>
      </c>
      <c r="O21" s="47" t="n"/>
    </row>
    <row r="22" ht="23.25" customHeight="1" s="26">
      <c r="A22" s="47" t="inlineStr">
        <is>
          <t>D-021</t>
        </is>
      </c>
      <c r="B22" s="48" t="n">
        <v>46301</v>
      </c>
      <c r="C22" s="47" t="inlineStr">
        <is>
          <t>A1-bis</t>
        </is>
      </c>
      <c r="D22" s="47" t="inlineStr">
        <is>
          <t>Entrambi</t>
        </is>
      </c>
      <c r="E22" s="47" t="inlineStr">
        <is>
          <t>Propulsione</t>
        </is>
      </c>
      <c r="F22" s="47" t="inlineStr">
        <is>
          <t>Discesa 360 → 302 km con motore + drag, motore acceso il 50% del tempo</t>
        </is>
      </c>
      <c r="G22" s="47" t="inlineStr">
        <is>
          <t>Discesa solo con il drag (4–10 mesi)</t>
        </is>
      </c>
      <c r="H22" s="47" t="inlineStr">
        <is>
          <t>Con il motore la discesa dura ~5 settimane</t>
        </is>
      </c>
      <c r="I22" s="47" t="inlineStr">
        <is>
          <t>Potenza, commissioning</t>
        </is>
      </c>
      <c r="J22" s="47" t="n"/>
      <c r="K22" s="47" t="n"/>
      <c r="L22" s="47" t="inlineStr">
        <is>
          <t>Approvata</t>
        </is>
      </c>
      <c r="M22" s="47" t="n"/>
      <c r="N22" s="47" t="inlineStr">
        <is>
          <t>Report A1-A1bis Parte 3</t>
        </is>
      </c>
      <c r="O22" s="47" t="inlineStr">
        <is>
          <t xml:space="preserve"> | 30/10/2026 (D-105): con spinta solo in luce il 50% di accensione usa ~83% della luce disponibile; da verificare in A6/Fase B | 30/10/2026 (D-108): con 6 pannelli la spinta sostenibile è ~5,5 h/giorno (non ~12): discesa più lunga, da rifare con GMAT in A6</t>
        </is>
      </c>
    </row>
    <row r="23" ht="34.5" customHeight="1" s="26">
      <c r="A23" s="47" t="inlineStr">
        <is>
          <t>D-022</t>
        </is>
      </c>
      <c r="B23" s="48" t="n">
        <v>46301</v>
      </c>
      <c r="C23" s="47" t="inlineStr">
        <is>
          <t>A1-bis</t>
        </is>
      </c>
      <c r="D23" s="47" t="inlineStr">
        <is>
          <t>Entrambi</t>
        </is>
      </c>
      <c r="E23" s="47" t="inlineStr">
        <is>
          <t>Propulsione</t>
        </is>
      </c>
      <c r="F23" s="47" t="inlineStr">
        <is>
          <t>Budget ΔV: 269 m/s per satellite (~1,5 kg di iodio) = 28 discesa + 2 phasing + 194 mantenimento + 45 margine 20%</t>
        </is>
      </c>
      <c r="G23" s="47" t="inlineStr">
        <is>
          <t>464 m/s (caso solare alto)</t>
        </is>
      </c>
      <c r="H23" s="47" t="inlineStr">
        <is>
          <t>Missione 2 anni, F10.7 = 129; in linea con EarthNext (&gt; 275 m/s in 3 anni)</t>
        </is>
      </c>
      <c r="I23" s="47" t="inlineStr">
        <is>
          <t>Serbatoio, massa (A5)</t>
        </is>
      </c>
      <c r="J23" s="47" t="inlineStr">
        <is>
          <t>DR-06, DR-07</t>
        </is>
      </c>
      <c r="K23" s="47" t="inlineStr">
        <is>
          <t>R-12, R-13</t>
        </is>
      </c>
      <c r="L23" s="47" t="inlineStr">
        <is>
          <t>Approvata</t>
        </is>
      </c>
      <c r="M23" s="47" t="n"/>
      <c r="N23" s="47" t="inlineStr">
        <is>
          <t>Report A1-A1bis Parte 3</t>
        </is>
      </c>
      <c r="O23" s="47" t="n"/>
    </row>
    <row r="24" ht="23.25" customHeight="1" s="26">
      <c r="A24" s="47" t="inlineStr">
        <is>
          <t>D-023</t>
        </is>
      </c>
      <c r="B24" s="48" t="n">
        <v>46301</v>
      </c>
      <c r="C24" s="47" t="inlineStr">
        <is>
          <t>A1-bis</t>
        </is>
      </c>
      <c r="D24" s="47" t="inlineStr">
        <is>
          <t>Entrambi</t>
        </is>
      </c>
      <c r="E24" s="47" t="inlineStr">
        <is>
          <t>Propulsione</t>
        </is>
      </c>
      <c r="F24" s="47" t="inlineStr">
        <is>
          <t>Nessun ΔV allocato per il rientro</t>
        </is>
      </c>
      <c r="G24" s="47" t="inlineStr">
        <is>
          <t>Manovra di deorbit</t>
        </is>
      </c>
      <c r="H24" s="47" t="inlineStr">
        <is>
          <t>Da 302 km, a motore spento, il satellite rientra da solo in pochi mesi</t>
        </is>
      </c>
      <c r="I24" s="47" t="n"/>
      <c r="J24" s="47" t="inlineStr">
        <is>
          <t>MR-14</t>
        </is>
      </c>
      <c r="K24" s="47" t="n"/>
      <c r="L24" s="47" t="inlineStr">
        <is>
          <t>Approvata</t>
        </is>
      </c>
      <c r="M24" s="47" t="n"/>
      <c r="N24" s="47" t="inlineStr">
        <is>
          <t>Report A1-A1bis Parte 3</t>
        </is>
      </c>
      <c r="O24" s="47" t="n"/>
    </row>
    <row r="25" ht="34.5" customHeight="1" s="26">
      <c r="A25" s="47" t="inlineStr">
        <is>
          <t>D-024</t>
        </is>
      </c>
      <c r="B25" s="48" t="n">
        <v>46305</v>
      </c>
      <c r="C25" s="47" t="inlineStr">
        <is>
          <t>A2</t>
        </is>
      </c>
      <c r="D25" s="47" t="inlineStr">
        <is>
          <t>Entrambi</t>
        </is>
      </c>
      <c r="E25" s="47" t="inlineStr">
        <is>
          <t>Payload</t>
        </is>
      </c>
      <c r="F25" s="47" t="inlineStr">
        <is>
          <t>PAN a 1,5 m a nadir: focale 0,70 m, F/5,8, Q = 0,92, strisciata 9,7 km (CMOS 6464 × 4852 px da 3,45 µm)</t>
        </is>
      </c>
      <c r="G25" s="47" t="inlineStr">
        <is>
          <t>GSD 1,0 m (F/8,7); 2,0 m (F/4,3); 2,5 m (aliasing)</t>
        </is>
      </c>
      <c r="H25" s="47" t="inlineStr">
        <is>
          <t>Pixel poco più piccolo del limite di diffrazione (1,7 m): ottica e sensore bilanciati</t>
        </is>
      </c>
      <c r="I25" s="47" t="inlineStr">
        <is>
          <t>Struttura, termico, dati</t>
        </is>
      </c>
      <c r="J25" s="47" t="inlineStr">
        <is>
          <t>MR-03, DR-01, DR-02, DR-03</t>
        </is>
      </c>
      <c r="K25" s="47" t="inlineStr">
        <is>
          <t>R-18</t>
        </is>
      </c>
      <c r="L25" s="47" t="inlineStr">
        <is>
          <t>Approvata</t>
        </is>
      </c>
      <c r="M25" s="47" t="n"/>
      <c r="N25" s="47" t="inlineStr">
        <is>
          <t>Report A2</t>
        </is>
      </c>
      <c r="O25" s="47" t="n"/>
    </row>
    <row r="26" ht="34.5" customHeight="1" s="26">
      <c r="A26" s="47" t="inlineStr">
        <is>
          <t>D-025</t>
        </is>
      </c>
      <c r="B26" s="48" t="n">
        <v>46305</v>
      </c>
      <c r="C26" s="47" t="inlineStr">
        <is>
          <t>A2</t>
        </is>
      </c>
      <c r="D26" s="47" t="inlineStr">
        <is>
          <t>Entrambi</t>
        </is>
      </c>
      <c r="E26" s="47" t="inlineStr">
        <is>
          <t>Payload</t>
        </is>
      </c>
      <c r="F26" s="47" t="inlineStr">
        <is>
          <t>RGB-NIR (B, G, R, NIR) a 3,0 m con binning 2×2 e filtri a strisce sullo stesso sensore; pansharpening a 1,5 m</t>
        </is>
      </c>
      <c r="G26" s="47" t="inlineStr">
        <is>
          <t>Colore a 1,5 m (4× i dati); colore a 6,0 m</t>
        </is>
      </c>
      <c r="H26" s="47" t="inlineStr">
        <is>
          <t>Il colore serve per aree estese (acqua, bruciato, frane): 3 m bastano; dati pari al PAN</t>
        </is>
      </c>
      <c r="I26" s="47" t="inlineStr">
        <is>
          <t>ADCS (riallineamento bande), dati</t>
        </is>
      </c>
      <c r="J26" s="47" t="inlineStr">
        <is>
          <t>MR-03, DR-05</t>
        </is>
      </c>
      <c r="K26" s="47" t="inlineStr">
        <is>
          <t>R-15</t>
        </is>
      </c>
      <c r="L26" s="47" t="inlineStr">
        <is>
          <t>Approvata</t>
        </is>
      </c>
      <c r="M26" s="47" t="n"/>
      <c r="N26" s="47" t="inlineStr">
        <is>
          <t>Report A2</t>
        </is>
      </c>
      <c r="O26" s="47" t="n"/>
    </row>
    <row r="27" ht="23.25" customHeight="1" s="26">
      <c r="A27" s="47" t="inlineStr">
        <is>
          <t>D-026</t>
        </is>
      </c>
      <c r="B27" s="48" t="n">
        <v>46317</v>
      </c>
      <c r="C27" s="47" t="inlineStr">
        <is>
          <t>A2</t>
        </is>
      </c>
      <c r="D27" s="47" t="inlineStr">
        <is>
          <t>Entrambi</t>
        </is>
      </c>
      <c r="E27" s="47" t="inlineStr">
        <is>
          <t>Payload</t>
        </is>
      </c>
      <c r="F27" s="47" t="inlineStr">
        <is>
          <t>Notturno: sCMOS 2048 × 2048 px da 11 µm, GSD 4,8 m, strisciata 9,8 km (9,6 m con binning 2×2)</t>
        </is>
      </c>
      <c r="G27" s="47" t="inlineStr">
        <is>
          <t>Pixel 6,5 µm (2,8 m, 1× luce); 4096 × 4096 da 9 µm (campo troppo ampio)</t>
        </is>
      </c>
      <c r="H27" s="47" t="inlineStr">
        <is>
          <t>Di notte il limite è la luce: 2,9× la luce del pixel da 6,5 µm; stessa strisciata del diurno</t>
        </is>
      </c>
      <c r="I27" s="47" t="inlineStr">
        <is>
          <t>A3, dati</t>
        </is>
      </c>
      <c r="J27" s="47" t="inlineStr">
        <is>
          <t>MR-04, DR-04</t>
        </is>
      </c>
      <c r="K27" s="47" t="inlineStr">
        <is>
          <t>R-16, R-17</t>
        </is>
      </c>
      <c r="L27" s="47" t="inlineStr">
        <is>
          <t>Approvata</t>
        </is>
      </c>
      <c r="M27" s="47" t="n"/>
      <c r="N27" s="47" t="inlineStr">
        <is>
          <t>Report A2</t>
        </is>
      </c>
      <c r="O27" s="47" t="inlineStr">
        <is>
          <t>Confermata in A3 (D-031): pixel da 11 µm definitivo</t>
        </is>
      </c>
    </row>
    <row r="28" ht="23.25" customHeight="1" s="26">
      <c r="A28" s="47" t="inlineStr">
        <is>
          <t>D-027</t>
        </is>
      </c>
      <c r="B28" s="48" t="n">
        <v>46317</v>
      </c>
      <c r="C28" s="47" t="inlineStr">
        <is>
          <t>A2</t>
        </is>
      </c>
      <c r="D28" s="47" t="inlineStr">
        <is>
          <t>Entrambi</t>
        </is>
      </c>
      <c r="E28" s="47" t="inlineStr">
        <is>
          <t>Payload</t>
        </is>
      </c>
      <c r="F28" s="47" t="inlineStr">
        <is>
          <t>Piano focale: sensore diurno e notturno affiancati lungo traccia, campo pieno ~3,9° (diagonale)</t>
        </is>
      </c>
      <c r="G28" s="47" t="inlineStr">
        <is>
          <t>Specchi aggiuntivi o parti mobili</t>
        </is>
      </c>
      <c r="H28" s="47" t="inlineStr">
        <is>
          <t>Campo normale per un TMA fuori asse; nessuna parte mobile</t>
        </is>
      </c>
      <c r="I28" s="47" t="inlineStr">
        <is>
          <t>Struttura del telescopio</t>
        </is>
      </c>
      <c r="J28" s="47" t="n"/>
      <c r="K28" s="47" t="inlineStr">
        <is>
          <t>R-01</t>
        </is>
      </c>
      <c r="L28" s="47" t="inlineStr">
        <is>
          <t>Approvata</t>
        </is>
      </c>
      <c r="M28" s="47" t="n"/>
      <c r="N28" s="47" t="inlineStr">
        <is>
          <t>Report A2</t>
        </is>
      </c>
      <c r="O28" s="47" t="inlineStr">
        <is>
          <t>30/10/2026 Giuseppe: con D-076 (TMA in asse, Proposta) il campo di 3,9° per i sensori affiancati resta l'obiettivo ma va verificato per un TMA in asse (R-42). | 30/10/2026 (A5.P4): campo di 3,9° verificato con il telescopio RC + 3 lenti (D-088); il Korsch in asse non lo reggeva.</t>
        </is>
      </c>
    </row>
    <row r="29" ht="34.5" customHeight="1" s="26">
      <c r="A29" s="47" t="inlineStr">
        <is>
          <t>D-028</t>
        </is>
      </c>
      <c r="B29" s="48" t="n">
        <v>46318</v>
      </c>
      <c r="C29" s="47" t="inlineStr">
        <is>
          <t>A3</t>
        </is>
      </c>
      <c r="D29" s="47" t="inlineStr">
        <is>
          <t>Entrambi</t>
        </is>
      </c>
      <c r="E29" s="47" t="inlineStr">
        <is>
          <t>Gestione</t>
        </is>
      </c>
      <c r="F29" s="47" t="inlineStr">
        <is>
          <t>Divisione del lavoro: Giuseppe su payload + AI + potenza/termico del payload; Giuliano su missione + GNC + TT&amp;C; budget, requisiti e A6 in comune</t>
        </is>
      </c>
      <c r="G29" s="47" t="inlineStr">
        <is>
          <t>Lavorare insieme sullo stesso passo</t>
        </is>
      </c>
      <c r="H29" s="47" t="inlineStr">
        <is>
          <t>Lavoro in parallelo sui passi rimasti della Fase A</t>
        </is>
      </c>
      <c r="I29" s="47" t="inlineStr">
        <is>
          <t>A3, A4, A5, A6</t>
        </is>
      </c>
      <c r="J29" s="47" t="n"/>
      <c r="K29" s="47" t="n"/>
      <c r="L29" s="47" t="inlineStr">
        <is>
          <t>Approvata</t>
        </is>
      </c>
      <c r="M29" s="47" t="n"/>
      <c r="N29" s="47" t="n"/>
      <c r="O29" s="47" t="n"/>
    </row>
    <row r="30" ht="23.25" customHeight="1" s="26">
      <c r="A30" s="47" t="inlineStr">
        <is>
          <t>D-029</t>
        </is>
      </c>
      <c r="B30" s="48" t="n">
        <v>46318</v>
      </c>
      <c r="C30" s="47" t="inlineStr">
        <is>
          <t>A3</t>
        </is>
      </c>
      <c r="D30" s="47" t="inlineStr">
        <is>
          <t>Giuseppe</t>
        </is>
      </c>
      <c r="E30" s="47" t="inlineStr">
        <is>
          <t>Payload</t>
        </is>
      </c>
      <c r="F30" s="47" t="inlineStr">
        <is>
          <t>Scena di progetto notturna: SNR ≥ 10 su quartiere da 20 nW/cm²/sr a 4,8 m (~100 e⁻, ~170 ms di luce)</t>
        </is>
      </c>
      <c r="G30" s="47" t="inlineStr">
        <is>
          <t>SNR 5 sul quartiere (granuloso); SNR 10 sul paese a 4,8 m (670 ms, deriva &lt; 0,0005°/s); SNR 10 su Napoli centro (paesi invisibili)</t>
        </is>
      </c>
      <c r="H30" s="47" t="inlineStr">
        <is>
          <t>Con SNR 10 si vedono strade e confine del blackout; il paese a 4,8 m chiede una stabilità fuori portata e la luna piena (~7 nW) è più luminosa del paese</t>
        </is>
      </c>
      <c r="I30" s="47" t="inlineStr">
        <is>
          <t>Esposizione, FMC, A5 dati</t>
        </is>
      </c>
      <c r="J30" s="47" t="inlineStr">
        <is>
          <t>MR-04, DR-09</t>
        </is>
      </c>
      <c r="K30" s="47" t="inlineStr">
        <is>
          <t>R-02, R-16, R-19, R-20</t>
        </is>
      </c>
      <c r="L30" s="47" t="inlineStr">
        <is>
          <t>Approvata</t>
        </is>
      </c>
      <c r="M30" s="47" t="n"/>
      <c r="N30" s="47" t="inlineStr">
        <is>
          <t>Report A3, Decisione 1</t>
        </is>
      </c>
      <c r="O30" s="47" t="inlineStr">
        <is>
          <t>Riguarda solo il payload</t>
        </is>
      </c>
    </row>
    <row r="31" ht="23.25" customHeight="1" s="26">
      <c r="A31" s="47" t="inlineStr">
        <is>
          <t>D-030</t>
        </is>
      </c>
      <c r="B31" s="48" t="n">
        <v>46318</v>
      </c>
      <c r="C31" s="47" t="inlineStr">
        <is>
          <t>A3</t>
        </is>
      </c>
      <c r="D31" s="47" t="inlineStr">
        <is>
          <t>Giuseppe</t>
        </is>
      </c>
      <c r="E31" s="47" t="inlineStr">
        <is>
          <t>Payload</t>
        </is>
      </c>
      <c r="F31" s="47" t="inlineStr">
        <is>
          <t>Shift-and-add: scatti da 20 ms presi durante la FMC, riallineati e sommati a bordo (10 scatti città = ~200 ms); a terra una sola immagine</t>
        </is>
      </c>
      <c r="G31" s="47" t="inlineStr">
        <is>
          <t>Scatto unico 170 ms (deriva &lt; 0,0018°/s, saturazione); ibrido 4 × 50 ms (deriva &lt; 0,006°/s)</t>
        </is>
      </c>
      <c r="H31" s="47" t="inlineStr">
        <is>
          <t>Stabilità 8 volte più facile (deriva &lt; 0,015°/s per scatto), scatti mossi scartabili, niente saturazione; costa ~15% di luce in più</t>
        </is>
      </c>
      <c r="I31" s="47" t="inlineStr">
        <is>
          <t>GNC (stabilità, durata FMC), scheda AI</t>
        </is>
      </c>
      <c r="J31" s="47" t="inlineStr">
        <is>
          <t>DR-04, DR-10, DR-11</t>
        </is>
      </c>
      <c r="K31" s="47" t="inlineStr">
        <is>
          <t>R-06, R-21</t>
        </is>
      </c>
      <c r="L31" s="47" t="inlineStr">
        <is>
          <t>Approvata</t>
        </is>
      </c>
      <c r="M31" s="47" t="n"/>
      <c r="N31" s="47" t="inlineStr">
        <is>
          <t>Report A3, Decisione 2</t>
        </is>
      </c>
      <c r="O31" s="47" t="inlineStr">
        <is>
          <t>Proposta: cambia i numeri dell'ADCS di Giuliano (deriva 0,015°/s, inseguimento 0,36 s). 24/10/2026: approvata da Giuliano in A5.3 g), alle condizioni D-044 (profilo F2), D-046 (banda ~1 rad/s, inerzia stimata in volo), D-050 (giroscopio GY2). Mosso per scatto ≤ 0,5 µrad (margine &gt;10×), inseguimento per tutta la finestra</t>
        </is>
      </c>
    </row>
    <row r="32" ht="23.25" customHeight="1" s="26">
      <c r="A32" s="47" t="inlineStr">
        <is>
          <t>D-031</t>
        </is>
      </c>
      <c r="B32" s="48" t="n">
        <v>46318</v>
      </c>
      <c r="C32" s="47" t="inlineStr">
        <is>
          <t>A3</t>
        </is>
      </c>
      <c r="D32" s="47" t="inlineStr">
        <is>
          <t>Giuseppe</t>
        </is>
      </c>
      <c r="E32" s="47" t="inlineStr">
        <is>
          <t>Payload</t>
        </is>
      </c>
      <c r="F32" s="47" t="inlineStr">
        <is>
          <t>Binning adattivo a bordo: città 1×1 (4,8 m, 10 scatti); paesi 2×2 (9,6 m, 15 scatti = 300 ms, SNR 10); 3×3 (14,4 m) di riserva. Pixel 11 µm confermato</t>
        </is>
      </c>
      <c r="G32" s="47" t="inlineStr">
        <is>
          <t>Paesi in 3×3 come modalità nominale (solo acceso/spento); pixel 6,5 µm con 2×2 (strisciata 5,8 km, 4× dati letti)</t>
        </is>
      </c>
      <c r="H32" s="47" t="inlineStr">
        <is>
          <t>Il 2×2 mostra quali vie del paese sono al buio; il 3×3 resta se in A5 scarico o stabilità ADCS risultano stretti</t>
        </is>
      </c>
      <c r="I32" s="47" t="inlineStr">
        <is>
          <t>D-026, GNC (durata FMC 300 ms), A5 dati (6,3 / 1,6 / 0,7 MB)</t>
        </is>
      </c>
      <c r="J32" s="47" t="inlineStr">
        <is>
          <t>MR-04, DR-09, DR-11</t>
        </is>
      </c>
      <c r="K32" s="47" t="inlineStr">
        <is>
          <t>R-02</t>
        </is>
      </c>
      <c r="L32" s="47" t="inlineStr">
        <is>
          <t>Superata</t>
        </is>
      </c>
      <c r="M32" s="47" t="inlineStr">
        <is>
          <t>D-077</t>
        </is>
      </c>
      <c r="N32" s="47" t="inlineStr">
        <is>
          <t>Report A3, Decisione 3</t>
        </is>
      </c>
      <c r="O32" s="47" t="inlineStr">
        <is>
          <t>Proposta: l'inseguimento di 300 ms sui paesi va confermato da Giuliano. 24/10/2026: approvata da Giuliano in A5.3 g), alle condizioni D-044 (profilo F2), D-046 (banda ~1 rad/s, inerzia stimata in volo), D-050 (giroscopio GY2). Mosso per scatto ≤ 0,5 µrad (margine &gt;10×), inseguimento per tutta la finestra</t>
        </is>
      </c>
    </row>
    <row r="33" ht="23.25" customHeight="1" s="26">
      <c r="A33" s="47" t="inlineStr">
        <is>
          <t>D-032</t>
        </is>
      </c>
      <c r="B33" s="48" t="n">
        <v>46318</v>
      </c>
      <c r="C33" s="47" t="inlineStr">
        <is>
          <t>A3</t>
        </is>
      </c>
      <c r="D33" s="47" t="inlineStr">
        <is>
          <t>Giuseppe</t>
        </is>
      </c>
      <c r="E33" s="47" t="inlineStr">
        <is>
          <t>Payload</t>
        </is>
      </c>
      <c r="F33" s="47" t="inlineStr">
        <is>
          <t>Diurno: TDI digitale, somma a bordo di 4 passaggi nella striscia PAN (~970 righe); sensore ≥ ~20 immagini/s; somma ~470 Mbit/s</t>
        </is>
      </c>
      <c r="G33" s="47" t="inlineStr">
        <is>
          <t>Scatto singolo (SNR inverno 15–25); somma di 9 passaggi (~50 fps, ~1,2 Gbit/s)</t>
        </is>
      </c>
      <c r="H33" s="47" t="inlineStr">
        <is>
          <t>Inverno, suolo medio: SNR 51 (obiettivo ~50) con velocità normale per il sensore; dati a terra invariati</t>
        </is>
      </c>
      <c r="I33" s="47" t="inlineStr">
        <is>
          <t>Scheda AI (potenza), sensore diurno (A5)</t>
        </is>
      </c>
      <c r="J33" s="47" t="inlineStr">
        <is>
          <t>DR-01, DR-12, DR-13</t>
        </is>
      </c>
      <c r="K33" s="47" t="inlineStr">
        <is>
          <t>R-22</t>
        </is>
      </c>
      <c r="L33" s="47" t="inlineStr">
        <is>
          <t>Approvata</t>
        </is>
      </c>
      <c r="M33" s="47" t="n"/>
      <c r="N33" s="47" t="inlineStr">
        <is>
          <t>Report A3, Decisione 4</t>
        </is>
      </c>
      <c r="O33" s="47" t="inlineStr">
        <is>
          <t>Riguarda solo il payload</t>
        </is>
      </c>
    </row>
    <row r="34" ht="23.25" customHeight="1" s="26">
      <c r="A34" s="47" t="inlineStr">
        <is>
          <t>D-033</t>
        </is>
      </c>
      <c r="B34" s="48" t="n">
        <v>46318</v>
      </c>
      <c r="C34" s="47" t="inlineStr">
        <is>
          <t>A5</t>
        </is>
      </c>
      <c r="D34" s="47" t="inlineStr">
        <is>
          <t>Giuliano</t>
        </is>
      </c>
      <c r="E34" s="47" t="inlineStr">
        <is>
          <t>Propulsione</t>
        </is>
      </c>
      <c r="F34" s="47" t="inlineStr">
        <is>
          <t>Dimensionamento dell'impulso totale per satellite sul caso solare medio (F10.7 = 129) con margine 20%: impulso totale ≥ 8,1 kN·s. Valore provvisorio, da confermare quando sarà nota la data di lancio (posizione nel ciclo solare)</t>
        </is>
      </c>
      <c r="G34" s="47" t="inlineStr">
        <is>
          <t>C2 caso alto senza margine (≥ 11,6 kN·s); C3 caso alto con margine 20% (≥ 13,6 kN·s); C1 come definitiva</t>
        </is>
      </c>
      <c r="H34" s="47" t="inlineStr">
        <is>
          <t>Coerente con D-020; coperto da più unità reali (REGULUS-50-I2 Large 11 kN·s, NPT30-I2 1.5U 9,5 kN·s). Con Sole alto per tutta la missione la REGULUS Large garantisce ~21,8 mesi di mantenimento (servono ~23): vita poco più corta, accettabile per un dimostratore. C2/C3 lasciano solo un'unità senza voli confermati (BIT-3)</t>
        </is>
      </c>
      <c r="I34" s="47" t="inlineStr">
        <is>
          <t>Scelta dell'unità propulsiva (A5.2 d), massa e volume (A5.7), potenza (A5.6)</t>
        </is>
      </c>
      <c r="J34" s="47" t="inlineStr">
        <is>
          <t>DR-06, DR-07, MR-12</t>
        </is>
      </c>
      <c r="K34" s="47" t="inlineStr">
        <is>
          <t>R-12, R-13</t>
        </is>
      </c>
      <c r="L34" s="47" t="inlineStr">
        <is>
          <t>Provvisoria</t>
        </is>
      </c>
      <c r="M34" s="47" t="n"/>
      <c r="N34" s="47" t="inlineStr">
        <is>
          <t>A5.2 c) – chat del 23/10/2026; report A5 (da emettere)</t>
        </is>
      </c>
      <c r="O34" s="47" t="inlineStr">
        <is>
          <t>Da portare a Provvisoria dopo l'approvazione di Giuseppe (tocca i budget in comune). Riaprire in Fase B con la data di lancio. Impulso indipendente dalla massa del satellite (drag ∝ area): 30→36 kg cambia lo iodio del 3% 26/10/2026 Giuseppe: approvata come Provvisoria (nessun effetto diretto sul payload; 269 m/s × 30 kg = 8,1 kN·s).</t>
        </is>
      </c>
    </row>
    <row r="35" ht="23.25" customHeight="1" s="26">
      <c r="A35" s="47" t="inlineStr">
        <is>
          <t>D-034</t>
        </is>
      </c>
      <c r="B35" s="48" t="n">
        <v>46318</v>
      </c>
      <c r="C35" s="47" t="inlineStr">
        <is>
          <t>A5</t>
        </is>
      </c>
      <c r="D35" s="47" t="inlineStr">
        <is>
          <t>Giuliano</t>
        </is>
      </c>
      <c r="E35" s="47" t="inlineStr">
        <is>
          <t>Propulsione</t>
        </is>
      </c>
      <c r="F35" s="47" t="inlineStr">
        <is>
          <t>Unità propulsiva di riferimento per i budget di Fase A: T4I REGULUS-50-I2 Large (iodio, 11 kN·s, 0,55 mN a 50 W, ~6 kg pieno, ~2,2U). Alternativa dichiarata: Busek BIT-3 (ionico RF a iodio, fino a 1,1 mN e 2150 s, 56–75 W, fino a 1,5 kg di iodio) per coprire il caso solare alto</t>
        </is>
      </c>
      <c r="G35" s="47" t="inlineStr">
        <is>
          <t>NPT30-I2 1.5U (9,5 kN·s, 1,7 kg) e 2 × NPT30-I2 1U (11 kN·s, 2,4 kg) come riferimento: restano compatibili con i budget perché meno gravosi di REGULUS in massa, volume ed energia</t>
        </is>
      </c>
      <c r="H35" s="47" t="inlineStr">
        <is>
          <t>Unità più gravosa per massa, volume ed energia tra quelle con eredità: se i budget chiudono con REGULUS chiudono anche con NPT30. Stessa unità di EarthNext: confronto diretto col paper. Margine +36% su D-033; con Sole alto ~21,8 mesi di mantenimento. BIT-3 come via per chiudere R-12 (vita &gt; 5 anni anche con Sole alto, stima)</t>
        </is>
      </c>
      <c r="I35" s="47" t="inlineStr">
        <is>
          <t>ADCS (A5.3), potenza (A5.6), massa e volume (A5.7), termico payload</t>
        </is>
      </c>
      <c r="J35" s="47" t="inlineStr">
        <is>
          <t>DR-06, DR-07, MR-12, MR-13</t>
        </is>
      </c>
      <c r="K35" s="47" t="inlineStr">
        <is>
          <t>R-12, R-13, R-01, R-14, R-23, R-24</t>
        </is>
      </c>
      <c r="L35" s="47" t="inlineStr">
        <is>
          <t>Approvata</t>
        </is>
      </c>
      <c r="M35" s="47" t="n"/>
      <c r="N35" s="47" t="inlineStr">
        <is>
          <t>A5.2 d) – chat del 23/10/2026; datasheet T4I, ThrustMe, Busek</t>
        </is>
      </c>
      <c r="O35" s="47" t="inlineStr">
        <is>
          <t>Inviluppi da usare: massa/volume/energia giornaliera = REGULUS; potenza di picco = 75 W (BIT-3, sopra i 60 W max di REGULUS); spinta per la coppia di disturbo ADCS = 1,1 mN (BIT-3/NPT30). BIT-3: voli non confermati, impulso non dichiarato (stima 31,6 kN·s), possibili vincoli di export USA da verificare. Pagina T4I incoerente (6 vs 5,1 kg; 250 vs 200 mm): usati i valori prudenti 26/10/2026 Giuseppe: approvata. Payload: con L1 getto all'indietro e apertura a nadir (a 90°). Coperchio dell'apertura chiuso durante la spinta; niente spinta nei minuti prima di un passaggio sull'Italia (minuti TBC dall'analisi termica, piano operativo di R-14). | 31/10/2026 (D-117): la Large è in due blocchi (motore + serbatoio, 2,2U, ~6 kg); il valore prudente di 250 mm in un blocco unico (V-01) è sostituito</t>
        </is>
      </c>
    </row>
    <row r="36" ht="23.25" customHeight="1" s="26">
      <c r="A36" s="47" t="inlineStr">
        <is>
          <t>D-035</t>
        </is>
      </c>
      <c r="B36" s="48" t="n">
        <v>46318</v>
      </c>
      <c r="C36" s="47" t="inlineStr">
        <is>
          <t>A5</t>
        </is>
      </c>
      <c r="D36" s="47" t="inlineStr">
        <is>
          <t>Giuliano</t>
        </is>
      </c>
      <c r="E36" s="47" t="inlineStr">
        <is>
          <t>Gestione</t>
        </is>
      </c>
      <c r="F36" s="47" t="inlineStr">
        <is>
          <t>Politica dei margini per i budget di Fase A secondo la ESA IOD CubeSat Margin Policy (TEC-SY/77/2016): margini per voce 5% (catalogo), 10% (catalogo con piccole modifiche), 20% (sviluppo nuovo o modifica importante) + margine di sistema ≥ 20% sopra; cablaggi come voce a sé (≥ 5% della massa secca); propellente con residui 2% e serbatoio +10% in volume; potenza a fine vita; RAM e processore di bordo con margine ≥ 50%</t>
        </is>
      </c>
      <c r="G36" s="47" t="inlineStr">
        <is>
          <t>M1: 20% unico sul totale (Guida); M3: come M2 con margine di sistema 25% in Fase A (resta come sensibilità nel report)</t>
        </is>
      </c>
      <c r="H36" s="47" t="inlineStr">
        <is>
          <t>Regola ESA pensata per CubeSat IOD come PULSE, difendibile in PRR; concentra il margine sulle voci nuove (telescopio, scheda AI, software) e scala verso Fasi B e C</t>
        </is>
      </c>
      <c r="I36" s="47" t="inlineStr">
        <is>
          <t>Tutti i budget A5 (massa, potenza, dati, volume), limite di massa (A5.1 c), PRR</t>
        </is>
      </c>
      <c r="J36" s="47" t="inlineStr">
        <is>
          <t>MR-13</t>
        </is>
      </c>
      <c r="K36" s="47" t="inlineStr">
        <is>
          <t>R-07</t>
        </is>
      </c>
      <c r="L36" s="47" t="inlineStr">
        <is>
          <t>Approvata</t>
        </is>
      </c>
      <c r="M36" s="47" t="n"/>
      <c r="N36" s="47" t="inlineStr">
        <is>
          <t>A5.1 b) – chat del 23/10/2026; ESA TEC-SY/77/2016; ESA SCI margin philosophy v1.3</t>
        </is>
      </c>
      <c r="O36" s="47" t="inlineStr">
        <is>
          <t>Decisione in comune: da approvare da Giuseppe. Margine ΔV invariato al 20% (D-022), più prudente del 5% ESA per manovre calcolate. Ogni voce di budget porta la classe di maturità e l'origine del numero (datasheet, calcolo, stima, TBC) 26/10/2026 Giuseppe: approvata. Telescopio in classe 20%; sensori e scheda AI 10–20% secondo il prodotto (A5 payload). Il margine 50% sul processore entra nel dimensionamento della scheda (D-056).</t>
        </is>
      </c>
    </row>
    <row r="37" ht="23.25" customHeight="1" s="26">
      <c r="A37" s="47" t="inlineStr">
        <is>
          <t>D-036</t>
        </is>
      </c>
      <c r="B37" s="48" t="n">
        <v>46318</v>
      </c>
      <c r="C37" s="47" t="inlineStr">
        <is>
          <t>A5</t>
        </is>
      </c>
      <c r="D37" s="47" t="inlineStr">
        <is>
          <t>Giuliano</t>
        </is>
      </c>
      <c r="E37" s="47" t="inlineStr">
        <is>
          <t>Struttura</t>
        </is>
      </c>
      <c r="F37" s="47" t="inlineStr">
        <is>
          <t>Limiti di riferimento per i budget: massa al rilascio (propellente pieno, margini D-035) con obiettivo ≤ 32 kg e massimo ≤ 36 kg; involucro e baricentro dal manuale EXOpod Nova (binari 226,3 × 226,3 × 454 mm, sporgenze ≤ 39,5 mm, baricentro entro ±45/±45/±90 mm); sporgenze e tuna can solo se necessari</t>
        </is>
      </c>
      <c r="G37" s="47" t="inlineStr">
        <is>
          <t>L1: limite unico 32 kg; L2: limite unico 36 kg; V2: dimensioni generiche 226,3 × 226,3 × 488 mm senza limiti di baricentro</t>
        </is>
      </c>
      <c r="H37" s="47" t="inlineStr">
        <is>
          <t>36 kg è il valore dei deployer 16U attuali (EXOpod Nova, SMPOD16C) e contiene EarthNext (35,6 kg); l'obiettivo 32 kg dà 4 kg di riserva per crescite di Fase B e scelta del deployer (R-11). Il manuale Nova è l'unica fonte con limiti verificabili, baricentro compreso</t>
        </is>
      </c>
      <c r="I37" s="47" t="inlineStr">
        <is>
          <t>Budget di massa e volume (A5.7), layout di telescopio e propulsione, scelta del lancio (A6)</t>
        </is>
      </c>
      <c r="J37" s="47" t="inlineStr">
        <is>
          <t>MR-13, DR-14, LR-01</t>
        </is>
      </c>
      <c r="K37" s="47" t="inlineStr">
        <is>
          <t>R-01, R-11</t>
        </is>
      </c>
      <c r="L37" s="47" t="inlineStr">
        <is>
          <t>Approvata</t>
        </is>
      </c>
      <c r="M37" s="47" t="n"/>
      <c r="N37" s="47" t="inlineStr">
        <is>
          <t>A5.1 c) – chat del 23/10/2026; EXOpod Nova User Manual (03/2024); brochure SMPOD16C</t>
        </is>
      </c>
      <c r="O37" s="47" t="inlineStr">
        <is>
          <t>Decisione in comune: da approvare da Giuseppe. Deployer non ancora scelto (LR-01 TBD): riferimento di progetto, non contratto. Superare l'obiettivo 32 kg richiede una giustificazione scritta 26/10/2026 Giuseppe: approvata. L'obiettivo 32 kg sarà stretto: EarthNext 35,6 kg con un telescopio più piccolo (apertura ~83 mm contro 120 mm).</t>
        </is>
      </c>
    </row>
    <row r="38" ht="23.25" customHeight="1" s="26">
      <c r="A38" s="47" t="inlineStr">
        <is>
          <t>D-037</t>
        </is>
      </c>
      <c r="B38" s="48" t="n">
        <v>46318</v>
      </c>
      <c r="C38" s="47" t="inlineStr">
        <is>
          <t>A5</t>
        </is>
      </c>
      <c r="D38" s="47" t="inlineStr">
        <is>
          <t>Giuliano</t>
        </is>
      </c>
      <c r="E38" s="47" t="inlineStr">
        <is>
          <t>Gestione</t>
        </is>
      </c>
      <c r="F38" s="47" t="inlineStr">
        <is>
          <t>I budget di Fase A stanno in un file separato "PULSE_Budget_FaseA.xlsx" (fogli Parametri, Massa, Potenza, Dati, Volume): per ogni voce responsabile, maturità e margine (D-035), origine del numero e decisione di riferimento; totali a formula con margine di sistema e verifica dei limiti (D-036)</t>
        </is>
      </c>
      <c r="G38" s="47" t="inlineStr">
        <is>
          <t>F1: foglio "Budget" nel registro; F3: un file per persona + file di riepilogo</t>
        </is>
      </c>
      <c r="H38" s="47" t="inlineStr">
        <is>
          <t>Il registro resta intatto (struttura invariata); formule e verifiche automatiche dei limiti; ogni numero porta la sua origine</t>
        </is>
      </c>
      <c r="I38" s="47" t="inlineStr">
        <is>
          <t>Tutti i sotto-passi A5, PRR</t>
        </is>
      </c>
      <c r="J38" s="47" t="inlineStr">
        <is>
          <t>MR-13</t>
        </is>
      </c>
      <c r="K38" s="47" t="inlineStr">
        <is>
          <t>R-07</t>
        </is>
      </c>
      <c r="L38" s="47" t="inlineStr">
        <is>
          <t>Approvata</t>
        </is>
      </c>
      <c r="M38" s="47" t="n"/>
      <c r="N38" s="47" t="inlineStr">
        <is>
          <t>A5.1 d) – chat del 23/10/2026</t>
        </is>
      </c>
      <c r="O38" s="47" t="inlineStr">
        <is>
          <t>Decisione in comune: da approvare da Giuseppe. Un file, una persona alla volta (git pull prima, commit + push dopo). Proposto in Documentation/ accanto ai report 26/10/2026 Giuseppe: approvata. Il file è nella radice del repo, accanto al registro (non in Documentation/). Suggerito: ID del foglio Dati da D-01… a DT-01… per non confonderli con le decisioni. Righe payload compilate da Giuseppe in A5 payload.</t>
        </is>
      </c>
    </row>
    <row r="39" ht="23.25" customHeight="1" s="26">
      <c r="A39" s="47" t="inlineStr">
        <is>
          <t>D-038</t>
        </is>
      </c>
      <c r="B39" s="48" t="n"/>
      <c r="C39" s="47" t="inlineStr">
        <is>
          <t>A5</t>
        </is>
      </c>
      <c r="D39" s="47" t="inlineStr">
        <is>
          <t>Entrambi</t>
        </is>
      </c>
      <c r="E39" s="47" t="inlineStr">
        <is>
          <t>Gestione</t>
        </is>
      </c>
      <c r="F39" s="47" t="inlineStr">
        <is>
          <t>Responsabili delle voci di piattaforma senza assegnazione in D-028: struttura e meccanismi, computer di bordo, EPS di piattaforma, cablaggi, termico di piattaforma</t>
        </is>
      </c>
      <c r="G39" s="47" t="n"/>
      <c r="H39" s="47" t="n"/>
      <c r="I39" s="47" t="inlineStr">
        <is>
          <t>Budget A5.6–A5.7, D-028</t>
        </is>
      </c>
      <c r="J39" s="47" t="inlineStr">
        <is>
          <t>DR-14</t>
        </is>
      </c>
      <c r="K39" s="47" t="n"/>
      <c r="L39" s="47" t="inlineStr">
        <is>
          <t>Aperta</t>
        </is>
      </c>
      <c r="M39" s="47" t="n"/>
      <c r="N39" s="47" t="inlineStr">
        <is>
          <t>A5.1 d) – chat del 23/10/2026</t>
        </is>
      </c>
      <c r="O39" s="47" t="inlineStr">
        <is>
          <t>Si decide voce per voce nei sotto-passi di A5. Opzioni discusse: A1 per affinità (Giuliano struttura, OBC, cablaggi; Giuseppe EPS e termico completi); A2 tutto in comune; A3 EPS a Giuliano. Nel file dei budget le voci hanno responsabile "TBC" | 30/10/2026: EPS di piattaforma assegnato a Giuliano con D-087 (Proposta); le altre voci restano aperte | 30/10/2026: D-087 approvata da Giuseppe (EPS a Giuliano) | 30/10/2026 (D-110, Proposta): termico di piattaforma a Giuseppe (modello termico unico del satellite) | 30/10/2026: D-110 approvata (termico di piattaforma a Giuseppe) | 30/10/2026 (D-113, Proposta): struttura e meccanismi, computer di bordo e cablaggi a Giuliano (R1); con l'approvazione di Giuseppe D-038 si chiude</t>
        </is>
      </c>
    </row>
    <row r="40" ht="15" customHeight="1" s="26">
      <c r="A40" s="47" t="inlineStr">
        <is>
          <t>D-039</t>
        </is>
      </c>
      <c r="B40" s="48" t="n">
        <v>46319</v>
      </c>
      <c r="C40" s="47" t="inlineStr">
        <is>
          <t>A5</t>
        </is>
      </c>
      <c r="D40" s="47" t="inlineStr">
        <is>
          <t>Giuliano</t>
        </is>
      </c>
      <c r="E40" s="47" t="inlineStr">
        <is>
          <t>GNC</t>
        </is>
      </c>
      <c r="F40" s="47" t="inlineStr">
        <is>
          <t>Metodo di verifica ADCS in Fase A: simulazione 1-asse (beccheggio) della FMC notturna in anello chiuso (ruota, controllo, rumore del giroscopio, disturbo costante), con controlli analitici degli accoppiamenti tra assi e bilancio del momento sulle 4 ruote</t>
        </is>
      </c>
      <c r="G40" s="47" t="inlineStr">
        <is>
          <t>Simulazione 3-assi subito; 1-asse ora + 3-assi semplificata a fine A5.3</t>
        </is>
      </c>
      <c r="H40" s="47" t="inlineStr">
        <is>
          <t>Risponde alla domanda che blocca D-030/D-031 (deriva &lt; 0,015°/s per scatto, inseguimento 0,36 s) con la precisione da Fase A (fattore 2). Stima di primo ordine: accoppiamento FMC × moto orbitale ~1·10⁻⁵ N·m, ~1/16 della soglia di deriva. Una 3-assi oggi poggerebbe su inerzie e layout TBC (A5.7)</t>
        </is>
      </c>
      <c r="I40" s="47" t="inlineStr">
        <is>
          <t>A5.3 c), e), g); Fase B (simulazione 3-assi in Simulink, Guida B.3)</t>
        </is>
      </c>
      <c r="J40" s="47" t="inlineStr">
        <is>
          <t>DR-10, DR-11, DR-04</t>
        </is>
      </c>
      <c r="K40" s="47" t="inlineStr">
        <is>
          <t>R-06</t>
        </is>
      </c>
      <c r="L40" s="47" t="inlineStr">
        <is>
          <t>Approvata</t>
        </is>
      </c>
      <c r="M40" s="47" t="n"/>
      <c r="N40" s="47" t="inlineStr">
        <is>
          <t>A5.3 – chat del 24/10/2026</t>
        </is>
      </c>
      <c r="O40" s="47" t="inlineStr">
        <is>
          <t>Riguarda solo la parte GNC. Simulazione 3-assi spostata in Fase B, quando A5.7 avrà fissato masse e inerzie</t>
        </is>
      </c>
    </row>
    <row r="41" ht="15" customHeight="1" s="26">
      <c r="A41" s="47" t="inlineStr">
        <is>
          <t>D-040</t>
        </is>
      </c>
      <c r="B41" s="48" t="n">
        <v>46319</v>
      </c>
      <c r="C41" s="47" t="inlineStr">
        <is>
          <t>A5</t>
        </is>
      </c>
      <c r="D41" s="47" t="inlineStr">
        <is>
          <t>Giuliano</t>
        </is>
      </c>
      <c r="E41" s="47" t="inlineStr">
        <is>
          <t>GNC</t>
        </is>
      </c>
      <c r="F41" s="47" t="inlineStr">
        <is>
          <t>Ripresa diurna: deriva d'assetto ≤ 0,001°/s; lo sfasamento tra le bande RGB-NIR (fino a ~0,79 s) e tra i 4 passaggi del TDI (~0,15 s) si corregge a bordo traslando ogni banda/passaggio secondo la deriva misurata dal giroscopio (opzione C). Correlazione tra le bande come affinamento opzionale nel software di bordo in Fase B (opzione D)</t>
        </is>
      </c>
      <c r="G41" s="47" t="inlineStr">
        <is>
          <t>A: 0,0002°/s senza correzione; B: 0,001°/s con riallineamento a terra; D come metodo principale (correlazione tra le bande)</t>
        </is>
      </c>
      <c r="H41" s="47" t="inlineStr">
        <is>
          <t>ADCS ordinaria; una sola funzione (traslazione secondo l'assetto misurato) per bande, TDI diurno e shift-and-add notturno (R-21); funziona anche su acqua uniforme. B contraddice D-007/MR-10 (AI a bordo con bande sfalsate di ~4,1 m); D fallisce su superfici uniformi (alluvioni, D-002). Residuo atteso ~0,8 m (~0,27 pixel colore) con errore del giroscopio ≤ 0,0002°/s</t>
        </is>
      </c>
      <c r="I41" s="47" t="inlineStr">
        <is>
          <t>Scheda di bordo (calcolo della traslazione), giroscopio (A5.3 f), sincronizzazione immagine–assetto, D-032 (TDI)</t>
        </is>
      </c>
      <c r="J41" s="47" t="inlineStr">
        <is>
          <t>DR-05, DR-18, DR-17, DR-13, MR-10</t>
        </is>
      </c>
      <c r="K41" s="47" t="inlineStr">
        <is>
          <t>R-15, R-21, R-25</t>
        </is>
      </c>
      <c r="L41" s="47" t="inlineStr">
        <is>
          <t>Superata</t>
        </is>
      </c>
      <c r="M41" s="47" t="inlineStr">
        <is>
          <t>D-056</t>
        </is>
      </c>
      <c r="N41" s="47" t="inlineStr">
        <is>
          <t>A5.3 a) – chat del 24/10/2026</t>
        </is>
      </c>
      <c r="O41" s="47" t="inlineStr">
        <is>
          <t>Proposta: aggiunge lavoro alla scheda di Giuseppe. Ritardo 0,79 s stimato con striscia PAN ~970 righe + 4 strisce colore: disposizione da confermare da Giuseppe. Senza correzione, a 0,001°/s il TDI a 4 passaggi si allarga di ~0,53 pixel PAN. 24/10/2026, A5.4: superata da D-056 (riallineamento geometrico con orbita, assetto e DEM al posto della traslazione unica); deriva ≤ 0,001°/s confermata</t>
        </is>
      </c>
    </row>
    <row r="42" ht="15" customHeight="1" s="26">
      <c r="A42" s="47" t="inlineStr">
        <is>
          <t>D-041</t>
        </is>
      </c>
      <c r="B42" s="48" t="n">
        <v>46319</v>
      </c>
      <c r="C42" s="47" t="inlineStr">
        <is>
          <t>A5</t>
        </is>
      </c>
      <c r="D42" s="47" t="inlineStr">
        <is>
          <t>Giuliano</t>
        </is>
      </c>
      <c r="E42" s="47" t="inlineStr">
        <is>
          <t>GNC</t>
        </is>
      </c>
      <c r="F42" s="47" t="inlineStr">
        <is>
          <t>Requisiti provvisori di puntamento e tempo: errore di puntamento assoluto (APE) ≤ 0,1°; sincronizzazione immagine–assetto ≤ 0,1 ms</t>
        </is>
      </c>
      <c r="G42" s="47" t="inlineStr">
        <is>
          <t>—</t>
        </is>
      </c>
      <c r="H42" s="47" t="inlineStr">
        <is>
          <t>APE 0,1° (come EarthNext) = 0,53 km a nadir, 1,14 km di traverso a 45°: 11% della semi-strisciata (0,92°). Con 1 ms di errore l'immagine si sposta di 7,4 m (5 pixel PAN) e di notte di 24 µrad (1,5 pixel); 0,1 ms → 0,74 m, facile con il PPS del GNSS</t>
        </is>
      </c>
      <c r="I42" s="47" t="inlineStr">
        <is>
          <t>A5.3 c), f), g); ricevitore GNSS (PPS)</t>
        </is>
      </c>
      <c r="J42" s="47" t="inlineStr">
        <is>
          <t>DR-15, DR-17, MR-05</t>
        </is>
      </c>
      <c r="K42" s="47" t="inlineStr">
        <is>
          <t>R-25</t>
        </is>
      </c>
      <c r="L42" s="47" t="inlineStr">
        <is>
          <t>Approvata</t>
        </is>
      </c>
      <c r="M42" s="47" t="n"/>
      <c r="N42" s="47" t="inlineStr">
        <is>
          <t>A5.3 a) – chat del 24/10/2026</t>
        </is>
      </c>
      <c r="O42" s="47" t="inlineStr">
        <is>
          <t>Valori TBC, da confermare in A5.3 f) e g). Riguarda solo la parte GNC</t>
        </is>
      </c>
    </row>
    <row r="43" ht="15" customHeight="1" s="26">
      <c r="A43" s="47" t="inlineStr">
        <is>
          <t>D-042</t>
        </is>
      </c>
      <c r="B43" s="48" t="n">
        <v>46319</v>
      </c>
      <c r="C43" s="47" t="inlineStr">
        <is>
          <t>A5</t>
        </is>
      </c>
      <c r="D43" s="47" t="inlineStr">
        <is>
          <t>Giuliano</t>
        </is>
      </c>
      <c r="E43" s="47" t="inlineStr">
        <is>
          <t>GNC</t>
        </is>
      </c>
      <c r="F43" s="47" t="inlineStr">
        <is>
          <t>Requisito provvisorio di conoscenza d'assetto (AKE) durante le riprese: ≤ 0,01°</t>
        </is>
      </c>
      <c r="G43" s="47" t="inlineStr">
        <is>
          <t>—</t>
        </is>
      </c>
      <c r="H43" s="47" t="inlineStr">
        <is>
          <t>Eredità EarthNext (AKE &lt; 0,01° in acquisizione). A terra: 53 m a nadir (~35 pixel PAN), 114 m di traverso a 45°: è la finestra in cui l'AI deve cercare l'allineamento immagine–OSM (MR-10)</t>
        </is>
      </c>
      <c r="I43" s="47" t="inlineStr">
        <is>
          <t>AI di bordo (ortorettifica, MR-10), sensori A5.3 f)</t>
        </is>
      </c>
      <c r="J43" s="47" t="inlineStr">
        <is>
          <t>DR-16, MR-10</t>
        </is>
      </c>
      <c r="K43" s="47" t="inlineStr">
        <is>
          <t>R-05</t>
        </is>
      </c>
      <c r="L43" s="47" t="inlineStr">
        <is>
          <t>Approvata</t>
        </is>
      </c>
      <c r="M43" s="47" t="n"/>
      <c r="N43" s="47" t="inlineStr">
        <is>
          <t>A5.3 a) – chat del 24/10/2026</t>
        </is>
      </c>
      <c r="O43" s="47" t="inlineStr">
        <is>
          <t>Proposta: Giuseppe deve dire quale errore iniziale tollera l'allineamento con OSM. TBC. 26/10/2026 Giuseppe (A4.5, D-064): per il confronto notturno con il riferimento 0,01° va bene (celle da 150 m, ~3 volte i 53 m di errore; l'allineamento OSM affina) 26/10/2026 Giuseppe: approvata. Di giorno 53 m = ~35 pixel PAN: finestra normale per l'aggancio a OSM. Dove mancano oggetti OSM (mare, piane allagate) la posizione resta a 53–114 m e va segnalata nel prodotto.</t>
        </is>
      </c>
    </row>
    <row r="44" ht="15" customHeight="1" s="26">
      <c r="A44" s="47" t="inlineStr">
        <is>
          <t>D-043</t>
        </is>
      </c>
      <c r="B44" s="48" t="n">
        <v>46319</v>
      </c>
      <c r="C44" s="47" t="inlineStr">
        <is>
          <t>A5</t>
        </is>
      </c>
      <c r="D44" s="47" t="inlineStr">
        <is>
          <t>Giuliano</t>
        </is>
      </c>
      <c r="E44" s="47" t="inlineStr">
        <is>
          <t>GNC</t>
        </is>
      </c>
      <c r="F44" s="47" t="inlineStr">
        <is>
          <t>Orientamento di riferimento per il dimensionamento ADCS (L1): lato lungo (454 mm) verso nadir, telescopio che guarda lungo il lato lungo, faccia 226 × 454 mm sulla velocità (0,103 m²). Inerzie come inviluppo: trasversali (rollio, beccheggio) 0,64–1,14 kg·m², asse lungo (imbardata) 0,26–0,55 kg·m² (30 kg pieno → 36 kg guscio); massimo per coppia e momento delle ruote, minimo per la deriva; pannelli dispiegabili come sensibilità (~0,055 kg·m² per kg) fino ad A5.6</t>
        </is>
      </c>
      <c r="G44" s="47" t="inlineStr">
        <is>
          <t>L2: lato lungo di traverso (telescopio in 226 mm, beccheggio sensibile ai disturbi); L3: lato lungo lungo la traccia (area 0,051 m², riapre A1-bis/D-022/D-033/D-034); valore unico d'inerzia</t>
        </is>
      </c>
      <c r="H44" s="47" t="inlineStr">
        <is>
          <t>Coerente con l'area di drag di A1 (0,1 m²) e con ΔV e propulsione già decisi; focale 0,70 m ripiegabile lungo i 454 mm come l'imager 8U di EarthNext; gradiente di gravità stabilizzante a nadir. Inviluppo entro un fattore 1,8, coerente con la Fase A</t>
        </is>
      </c>
      <c r="I44" s="47" t="inlineStr">
        <is>
          <t>A5.3 c), d), e), g); layout del telescopio (Giuseppe); A5.7</t>
        </is>
      </c>
      <c r="J44" s="47" t="inlineStr">
        <is>
          <t>DR-10, DR-11, DR-14</t>
        </is>
      </c>
      <c r="K44" s="47" t="inlineStr">
        <is>
          <t>R-01, R-06</t>
        </is>
      </c>
      <c r="L44" s="47" t="inlineStr">
        <is>
          <t>Approvata</t>
        </is>
      </c>
      <c r="M44" s="47" t="n"/>
      <c r="N44" s="47" t="inlineStr">
        <is>
          <t>A5.3 b) – chat del 24/10/2026</t>
        </is>
      </c>
      <c r="O44" s="47" t="inlineStr">
        <is>
          <t>Proposta: fissa la posizione del telescopio di Giuseppe. TBC fino ad A5.7. DA VERIFICARE IN A5.7: REGULUS lunga 250 mm (V-01, valore prudente; altra tabella T4I 200 mm) contro 226,3 mm di involucro lungo X (direzione di spinta): controllare disegno T4I e posizione dell'ugello. Idea L3 (drag dimezzato) da rivalutare in A5.7 / Fase B 26/10/2026 Giuseppe: approvata. Orientamento ok (apertura sulla faccia 226 × 226 verso nadir). Apertura PULSE 120 mm &gt; 113 mm di mezza sezione: il telescopio occupa probabilmente la sezione intera vicino al primario (R-01). Sezione e massa da Giuseppe in A5 payload. | 31/10/2026 (A5.7.2): massa stimata ~21 kg nominali, ~28 kg con margini: le inerzie vere possono stare sotto il minimo dell'inviluppo (calcolato da 30 kg): verifica in A5.7.8 | 31/10/2026 (D-126): inerzie ad ali aperte Ixx 3,05 / Iyy 0,45 / Izz 2,78 kg·m² (stima L1b+W1), ad ali chiuse 0,35 / 0,34 / 0,18: inviluppo da aggiornare in A5.7.8</t>
        </is>
      </c>
    </row>
    <row r="45" ht="15" customHeight="1" s="26">
      <c r="A45" s="47" t="inlineStr">
        <is>
          <t>D-044</t>
        </is>
      </c>
      <c r="B45" s="48" t="n">
        <v>46319</v>
      </c>
      <c r="C45" s="47" t="inlineStr">
        <is>
          <t>A5</t>
        </is>
      </c>
      <c r="D45" s="47" t="inlineStr">
        <is>
          <t>Giuliano</t>
        </is>
      </c>
      <c r="E45" s="47" t="inlineStr">
        <is>
          <t>GNC</t>
        </is>
      </c>
      <c r="F45" s="47" t="inlineStr">
        <is>
          <t>Profilo nominale della FMC notturna: inseguimento continuo dal bordo della finestra (F2), aggancio alla linea di vista a 0,7–1,1°/s e scatti dove conviene; il colpo rapido (F1, rampa 2–9 s a 3–7·10⁻³ N·m) si simula come caso di stress</t>
        </is>
      </c>
      <c r="G45" s="47" t="inlineStr">
        <is>
          <t>F1 come nominale; F3 aggancio anticipato di ~20–30 s</t>
        </is>
      </c>
      <c r="H45" s="47" t="inlineStr">
        <is>
          <t>DR-10 chiede un moto dolce: con F2 la coppia richiesta è ~4,6·10⁻⁴ N·m (solo curvatura della LOS), decine di secondi per assestarsi, scatti mossi ripetibili nella finestra (47,7 s a 30°, 84 s a 45°). Momento max FMC 0,029 N·m·s (velocità inerziale 1,47°/s, I = 1,14 kg·m²)</t>
        </is>
      </c>
      <c r="I45" s="47" t="inlineStr">
        <is>
          <t>Simulazione 1-asse (A5.3 c parte 2), giroscopio e star tracker ad alta velocità (A5.3 f), DR-11</t>
        </is>
      </c>
      <c r="J45" s="47" t="inlineStr">
        <is>
          <t>DR-04, DR-08, DR-10, DR-11, DR-18</t>
        </is>
      </c>
      <c r="K45" s="47" t="inlineStr">
        <is>
          <t>R-06, R-21, R-25</t>
        </is>
      </c>
      <c r="L45" s="47" t="inlineStr">
        <is>
          <t>Approvata</t>
        </is>
      </c>
      <c r="M45" s="47" t="n"/>
      <c r="N45" s="47" t="inlineStr">
        <is>
          <t>A5.3 c) – chat del 24/10/2026</t>
        </is>
      </c>
      <c r="O45" s="47" t="inlineStr">
        <is>
          <t>Riguarda solo la parte GNC: non cambia numeri di Giuseppe (10–15 scatti da 20 ms invariati). Costo: assetto a 1–1,5°/s per tutta la finestra, conoscenza affidata al giroscopio</t>
        </is>
      </c>
    </row>
    <row r="46" ht="15" customHeight="1" s="26">
      <c r="A46" s="47" t="inlineStr">
        <is>
          <t>D-045</t>
        </is>
      </c>
      <c r="B46" s="48" t="n">
        <v>46319</v>
      </c>
      <c r="C46" s="47" t="inlineStr">
        <is>
          <t>A5</t>
        </is>
      </c>
      <c r="D46" s="47" t="inlineStr">
        <is>
          <t>Giuliano</t>
        </is>
      </c>
      <c r="E46" s="47" t="inlineStr">
        <is>
          <t>GNC</t>
        </is>
      </c>
      <c r="F46" s="47" t="inlineStr">
        <is>
          <t>Requisito di agilità: slew di 45° in ≤ 60 s, assestamento escluso (S2). Coppia ≤ 1,0·10⁻³ N·m, picco 1,5°/s, momento ≤ 0,030 N·m·s</t>
        </is>
      </c>
      <c r="G46" s="47" t="inlineStr">
        <is>
          <t>S1: 45° in ≤ 120 s (un bersaglio per passaggio); S3: 45° in ≤ 30 s (0,060 N·m·s, 3°/s)</t>
        </is>
      </c>
      <c r="H46" s="47" t="inlineStr">
        <is>
          <t>Momento pari a quello della FMC: lo slew non dimensiona le ruote. Con 4 satelliti le zone lontane sono coperte dagli altri; bersagli successivi sullo stesso satellite se distanti ≳ 450 km lungo traccia</t>
        </is>
      </c>
      <c r="I46" s="47" t="inlineStr">
        <is>
          <t>Ruote (A5.3 e), DR-08</t>
        </is>
      </c>
      <c r="J46" s="47" t="inlineStr">
        <is>
          <t>DR-19, DR-08, MR-05</t>
        </is>
      </c>
      <c r="K46" s="47" t="inlineStr">
        <is>
          <t>R-06</t>
        </is>
      </c>
      <c r="L46" s="47" t="inlineStr">
        <is>
          <t>Approvata</t>
        </is>
      </c>
      <c r="M46" s="47" t="n"/>
      <c r="N46" s="47" t="inlineStr">
        <is>
          <t>A5.3 c) – chat del 24/10/2026</t>
        </is>
      </c>
      <c r="O46" s="47" t="inlineStr">
        <is>
          <t>Riguarda solo la parte GNC. Tempo di assestamento dalla simulazione (A5.3 c parte 2). A5.4.3: assestamento dopo lo slew di 45° 1,1–2,6 s (7,1 s prima del commissioning), D-057</t>
        </is>
      </c>
    </row>
    <row r="47" ht="15" customHeight="1" s="26">
      <c r="A47" s="47" t="inlineStr">
        <is>
          <t>D-046</t>
        </is>
      </c>
      <c r="B47" s="48" t="n">
        <v>46319</v>
      </c>
      <c r="C47" s="47" t="inlineStr">
        <is>
          <t>A5</t>
        </is>
      </c>
      <c r="D47" s="47" t="inlineStr">
        <is>
          <t>Giuliano</t>
        </is>
      </c>
      <c r="E47" s="47" t="inlineStr">
        <is>
          <t>GNC</t>
        </is>
      </c>
      <c r="F47" s="47" t="inlineStr">
        <is>
          <t>Robustezza del controllo all'inerzia sconosciuta (K3): banda di controllo ~1 rad/s come base, aggiornamento ≥ 10 Hz, anticipo di coppia con l'inerzia stimata in volo al commissioning (entro ~10%); banda riducibile in volo se i pannelli vibrano</t>
        </is>
      </c>
      <c r="G47" s="47" t="inlineStr">
        <is>
          <t>K1: solo banda ≥ ~1 rad/s; K2: banda 0,3 rad/s + stima dell'inerzia in volo</t>
        </is>
      </c>
      <c r="H47" s="47" t="inlineStr">
        <is>
          <t>Simulazione 1-asse: con banda 1 rad/s 0% di scatti mossi su tutto l'inviluppo (mosso peggiore 2,2–3,7 µrad MEMS, ≤ 0,5 µrad alta qualità, soglia 5,2); con 0,3 rad/s e inerzia vera +65% il 10% degli scatti è mosso e l'APE arriva a 0,22°; con inerzia nota (errore 7%) anche 0,3 rad/s rispetta DR-10. 10 Hz bastano (50 Hz non cambia). Doppia protezione a costo solo software e di commissioning</t>
        </is>
      </c>
      <c r="I47" s="47" t="inlineStr">
        <is>
          <t>Software ADCS, procedura di commissioning (stima d'inerzia), A5.3 g), Fase B (3-assi con pannelli)</t>
        </is>
      </c>
      <c r="J47" s="47" t="inlineStr">
        <is>
          <t>DR-20, DR-10, DR-15</t>
        </is>
      </c>
      <c r="K47" s="47" t="inlineStr">
        <is>
          <t>R-06</t>
        </is>
      </c>
      <c r="L47" s="47" t="inlineStr">
        <is>
          <t>Approvata</t>
        </is>
      </c>
      <c r="M47" s="47" t="n"/>
      <c r="N47" s="47" t="inlineStr">
        <is>
          <t>A5.3 c) – chat del 24/10/2026; PULSE_ADCS/A5.3 (sim1asse.py, sensibilita.py)</t>
        </is>
      </c>
      <c r="O47" s="47" t="inlineStr">
        <is>
          <t>Riguarda solo la parte GNC. Primo esito positivo per D-030 con F2 (conferma in A5.3 g) dopo disturbi e sensori). APE con MEMS 0,067–0,078° vicino al limite: da riprendere in A5.3 f)</t>
        </is>
      </c>
    </row>
    <row r="48" ht="15" customHeight="1" s="26">
      <c r="A48" s="47" t="inlineStr">
        <is>
          <t>D-047</t>
        </is>
      </c>
      <c r="B48" s="48" t="n">
        <v>46319</v>
      </c>
      <c r="C48" s="47" t="inlineStr">
        <is>
          <t>A5</t>
        </is>
      </c>
      <c r="D48" s="47" t="inlineStr">
        <is>
          <t>Giuliano</t>
        </is>
      </c>
      <c r="E48" s="47" t="inlineStr">
        <is>
          <t>Struttura</t>
        </is>
      </c>
      <c r="F48" s="47" t="inlineStr">
        <is>
          <t>Posizione del baricentro (G2): entro 10 mm dalla linea di spinta ed entro 20 mm dal centro di pressione aerodinamico, per tutta la vita (anche con lo iodio consumato). Coppie di progetto: in spinta ~2,3·10⁻⁵ N·m (1,1 mN × 10 mm + aerodinamica + magnetico), in ripresa ~1,4·10⁻⁵ N·m</t>
        </is>
      </c>
      <c r="G48" s="47" t="inlineStr">
        <is>
          <t>G1: ≤ 5 mm / ≤ 10 mm (layout e consumo dello iodio troppo vincolati); G3: solo i limiti del deployer DR-14, 45/90 mm (fino a ~1,4·10⁻⁴ N·m, ruote sature in spinta)</t>
        </is>
      </c>
      <c r="H48" s="47" t="inlineStr">
        <is>
          <t>La spinta disallineata è la coppia dominante, come in EarthNext. Con 90 mm il momento da scaricare in 4,2 h di spinta è 1,50 N·m·s, oltre i magnetorquer di classe EarthNext (2,6 A·m², 6,8·10⁻⁵–1,4·10⁻⁴ N·m di picco); con 10 mm 0,17 N·m·s, scaricabile di continuo. Ordine di grandezza coerente con EarthNext Tab. 4. Densità dimensionante 4,6·10⁻¹¹ kg/m³ (MSIS, F10.7 181, Ap 50); la simulazione F2 non cambia mosso con disturbi fino a 10⁻⁴ N·m</t>
        </is>
      </c>
      <c r="I48" s="47" t="inlineStr">
        <is>
          <t>Layout e bilanciamento (A5.7), posizione del telescopio (Giuseppe) e della REGULUS, magnetorquer (A5.3 e), DR-14</t>
        </is>
      </c>
      <c r="J48" s="47" t="inlineStr">
        <is>
          <t>DR-21, DR-14</t>
        </is>
      </c>
      <c r="K48" s="47" t="inlineStr">
        <is>
          <t>R-26, R-06</t>
        </is>
      </c>
      <c r="L48" s="47" t="inlineStr">
        <is>
          <t>Approvata</t>
        </is>
      </c>
      <c r="M48" s="47" t="n"/>
      <c r="N48" s="47" t="inlineStr">
        <is>
          <t>A5.3 d) – chat del 24/10/2026; PULSE_ADCS/A5.3/disturbi.py</t>
        </is>
      </c>
      <c r="O48" s="47" t="inlineStr">
        <is>
          <t>Proposta: vincola il layout in comune e la posizione del telescopio. DR-14 resta il limite del deployer; DR-21 è il requisito di progetto ADCS, molto più stretto. Valori TBC 26/10/2026 Giuseppe: approvata. Aggiungere al budget di massa una riga "zavorra" (TBC) come riserva per il bilanciamento. | 31/10/2026 (D-117, DR-67): con 2,04 kg di iodio il serbatoio entro ~70 mm dalla linea di spinta sposta il baricentro di ≤ 5,1 mm da pieno a vuoto (±2,6 mm attorno alla linea)</t>
        </is>
      </c>
    </row>
    <row r="49" ht="15" customHeight="1" s="26">
      <c r="A49" s="47" t="inlineStr">
        <is>
          <t>D-048</t>
        </is>
      </c>
      <c r="B49" s="48" t="n">
        <v>46319</v>
      </c>
      <c r="C49" s="47" t="inlineStr">
        <is>
          <t>A5</t>
        </is>
      </c>
      <c r="D49" s="47" t="inlineStr">
        <is>
          <t>Giuliano</t>
        </is>
      </c>
      <c r="E49" s="47" t="inlineStr">
        <is>
          <t>GNC</t>
        </is>
      </c>
      <c r="F49" s="47" t="inlineStr">
        <is>
          <t>Ruote di reazione (W3): 4 ruote in piramide a 54,7°, classe 0,1 N·m·s / 7 mN·m; unità di riferimento per i budget BCT RWp100 (0,33 kg, &lt; 1 W a regime, picco 9 W). Momento per asse 0,163 N·m·s (0,082 con una ruota guasta) contro 0,067 richiesti. Alternativa da valutare: 4 × Rocket Lab RW-0.06 (W4)</t>
        </is>
      </c>
      <c r="G49" s="47" t="inlineStr">
        <is>
          <t>W1: 3 ortogonali classe 0,1 (nessuna ridondanza); W2: 4 in piramide classe 0,05 (0,041 N·m·s con un guasto); W4 come riferimento (0,049 con un guasto; picco 0,18 solo a 28 V)</t>
        </is>
      </c>
      <c r="H49" s="47" t="inlineStr">
        <is>
          <t>Unica opzione che rispetta il requisito anche con una ruota guasta: perdere l'ADCS significa perdere 1/4 della costellazione. Stesso criterio di D-034 (riferimento = unità più gravosa). Margine 2,4× che copre anche l'inerzia dei pannelli (TBC). Stessa classe dichiarata da EarthNext</t>
        </is>
      </c>
      <c r="I49" s="47" t="inlineStr">
        <is>
          <t>Massa (+1,32 kg con 4 ruote), potenza, volume (A5.7), jitter (A5.3 g)</t>
        </is>
      </c>
      <c r="J49" s="47" t="inlineStr">
        <is>
          <t>DR-22, DR-19, DR-11</t>
        </is>
      </c>
      <c r="K49" s="47" t="inlineStr">
        <is>
          <t>R-06</t>
        </is>
      </c>
      <c r="L49" s="47" t="inlineStr">
        <is>
          <t>Approvata</t>
        </is>
      </c>
      <c r="M49" s="47" t="n"/>
      <c r="N49" s="47" t="inlineStr">
        <is>
          <t>A5.3 e) – chat del 24/10/2026; datasheet BCT Reaction Wheels 2025, Rocket Lab RW-0.06 v3.0</t>
        </is>
      </c>
      <c r="O49" s="47" t="inlineStr">
        <is>
          <t>Riguarda solo la parte GNC. Dati BCT dichiarati indicativi dal costruttore. Jitter delle ruote da valutare in A5.3 g) (DR-02)</t>
        </is>
      </c>
    </row>
    <row r="50" ht="15" customHeight="1" s="26">
      <c r="A50" s="47" t="inlineStr">
        <is>
          <t>D-049</t>
        </is>
      </c>
      <c r="B50" s="48" t="n">
        <v>46319</v>
      </c>
      <c r="C50" s="47" t="inlineStr">
        <is>
          <t>A5</t>
        </is>
      </c>
      <c r="D50" s="47" t="inlineStr">
        <is>
          <t>Giuliano</t>
        </is>
      </c>
      <c r="E50" s="47" t="inlineStr">
        <is>
          <t>GNC</t>
        </is>
      </c>
      <c r="F50" s="47" t="inlineStr">
        <is>
          <t>Magnetorquer (M3): 3 barre, dipolo ≥ 2,5 A·m² per asse (classe EarthNext 2,6 A·m²). M2 (2,0 A·m², es. CubeSpace CR0020) resta valido se D-047 è rispettato: analisi giornaliera dello scarico durante 4,2 h di spinta</t>
        </is>
      </c>
      <c r="G50" s="47" t="inlineStr">
        <is>
          <t>M1: ~1,2 A·m² (NCTR-M012); M2 come riferimento</t>
        </is>
      </c>
      <c r="H50" s="47" t="inlineStr">
        <is>
          <t>Dipolo minimo 1,8 A·m² (2,3·10⁻⁵ N·m all'equatore, efficienza 0,5). Analisi dello scarico (dipolo inclinato, legge a prodotto vettoriale): con baricentro a 10 mm momento max 0,045 N·m·s sia con 2,0 sia con 2,5 A·m² (entro 0,052 disponibili anche con una ruota guasta); con baricentro a 20 mm (stress R-26) 0,154 con 2,0 A·m² (oltre 0,133 disponibili) e 0,116 con 2,5 A·m². Con 1,2 A·m² 0,061 già nel caso nominale. Detumbling da 10°/s (TBC) in ~1,4 orbite</t>
        </is>
      </c>
      <c r="I50" s="47" t="inlineStr">
        <is>
          <t>Massa, potenza in spinta e in safe, R-26</t>
        </is>
      </c>
      <c r="J50" s="47" t="inlineStr">
        <is>
          <t>DR-23, DR-21</t>
        </is>
      </c>
      <c r="K50" s="47" t="inlineStr">
        <is>
          <t>R-26</t>
        </is>
      </c>
      <c r="L50" s="47" t="inlineStr">
        <is>
          <t>Approvata</t>
        </is>
      </c>
      <c r="M50" s="47" t="n"/>
      <c r="N50" s="47" t="inlineStr">
        <is>
          <t>A5.3 e) – chat del 24/10/2026; PULSE_ADCS/A5.3/desaturazione.py; datasheet NewSpace, CubeSpace Gen2</t>
        </is>
      </c>
      <c r="O50" s="47" t="inlineStr">
        <is>
          <t>Riguarda solo la parte GNC. La coppia sull'asse di imbardata (Z) è la più difficile da scaricare (campo quasi parallelo); quella di beccheggio no (≤ 0,008 N·m·s). Rotazione iniziale dopo il rilascio da prendere dal manuale del deployer</t>
        </is>
      </c>
    </row>
    <row r="51" ht="15" customHeight="1" s="26">
      <c r="A51" s="47" t="inlineStr">
        <is>
          <t>D-050</t>
        </is>
      </c>
      <c r="B51" s="48" t="n">
        <v>46319</v>
      </c>
      <c r="C51" s="47" t="inlineStr">
        <is>
          <t>A5</t>
        </is>
      </c>
      <c r="D51" s="47" t="inlineStr">
        <is>
          <t>Giuliano</t>
        </is>
      </c>
      <c r="E51" s="47" t="inlineStr">
        <is>
          <t>GNC</t>
        </is>
      </c>
      <c r="F51" s="47" t="inlineStr">
        <is>
          <t>Giroscopio di riferimento (GY2): classe MEMS ad alte prestazioni, ARW ≤ 0,01°/√h (riferimento 3 × Silicon Sensing CRH03, ARW 0,006°/√h, bias 0,04°/h). Inviluppo di massa e potenza nei budget dalla classe GY3 (IMU a fibra ottica KVH 1750: 0,7 kg, 5 W). In panchina: GY3 come alternativa (al limite di DR-18); GY1 (MEMS tattico, STIM300) solo per usi fuori dalle riprese</t>
        </is>
      </c>
      <c r="G51" s="47" t="inlineStr">
        <is>
          <t>GY1 come riferimento (ARW 0,15°/√h: bande 11,7 m, TDI 3,4 pixel, shift-and-add 24 µrad; in anello chiuso deriva diurna 0,004–0,008°/s, oltre DR-05); GY3 come riferimento (0,94 m, al limite)</t>
        </is>
      </c>
      <c r="H51" s="47" t="inlineStr">
        <is>
          <t>Unica classe che rispetta DR-18 con margine (bande 0,47 m su 0,8 m; TDI 0,14 pixel; shift-and-add notturno 1,0 µrad su 5,2) e lascia intatte D-040 (C), D-030 e R-21. In anello chiuso, deriva diurna vera 0,0004–0,0006°/s (DR-05 ≤ 0,001°/s rispettato). Con GY1 cadrebbero D-040, il riallineamento su zone buie (R-21) e la somma TDI di D-032. Inviluppo GY3 per i budget come in D-034/D-048</t>
        </is>
      </c>
      <c r="I51" s="47" t="inlineStr">
        <is>
          <t>Massa (inviluppo 0,7 kg), potenza (inviluppo 5 W), D-040, D-030, D-032, R-21</t>
        </is>
      </c>
      <c r="J51" s="47" t="inlineStr">
        <is>
          <t>DR-18, DR-05, DR-16, DR-10</t>
        </is>
      </c>
      <c r="K51" s="47" t="inlineStr">
        <is>
          <t>R-21, R-25, R-27</t>
        </is>
      </c>
      <c r="L51" s="47" t="inlineStr">
        <is>
          <t>Approvata</t>
        </is>
      </c>
      <c r="M51" s="47" t="n"/>
      <c r="N51" s="47" t="inlineStr">
        <is>
          <t>A5.3 f) – chat del 24/10/2026; datasheet CRH03 (Althen), STIM300 (Safran, NovAtel), KVH 1750</t>
        </is>
      </c>
      <c r="O51" s="47" t="inlineStr">
        <is>
          <t>Riguarda solo la parte GNC: conferma le condizioni di D-040 senza cambiare i numeri di Giuseppe. Massa e potenza di CRH03 da ricavare dalle tabelle complete del datasheet. Eredità spaziale di CRH03 da verificare (R-27). Nota: il 'MEMS' della simulazione di c) vale solo per DR-10</t>
        </is>
      </c>
    </row>
    <row r="52" ht="15" customHeight="1" s="26">
      <c r="A52" s="47" t="inlineStr">
        <is>
          <t>D-051</t>
        </is>
      </c>
      <c r="B52" s="48" t="n">
        <v>46319</v>
      </c>
      <c r="C52" s="47" t="inlineStr">
        <is>
          <t>A5</t>
        </is>
      </c>
      <c r="D52" s="47" t="inlineStr">
        <is>
          <t>Giuliano</t>
        </is>
      </c>
      <c r="E52" s="47" t="inlineStr">
        <is>
          <t>GNC</t>
        </is>
      </c>
      <c r="F52" s="47" t="inlineStr">
        <is>
          <t>Star tracker (ST2): 2 teste classe Rocket Lab ST-16RT2 (5″ di traverso, 55″ di rollio, 2 Hz, fino a 3°/s, 158–235 g e &lt; 0,5 W ciascuna), orientate in direzioni diverse; con L1 almeno una verso lo zenit, parallela al telescopio</t>
        </is>
      </c>
      <c r="G52" s="47" t="inlineStr">
        <is>
          <t>ST1: una sola testa (nessuna ridondanza, accecamento negli slew a 45°); ST3: una testa classe arcsec Sagitta (2″/10″, velocità massima non dichiarata, 1,3–1,5 W)</t>
        </is>
      </c>
      <c r="H52" s="47" t="inlineStr">
        <is>
          <t>Una testa vede sempre il cielo anche con Sole, Luna o Terra nel campo; un guasto non ferma le riprese, coerente con W3. 3°/s copre la FMC (1,47°/s): lo star tracker può restare acceso in F2. AKE: 5″ (0,0014°) contro 0,01° di DR-16, margine per gli allineamenti termoelastici</t>
        </is>
      </c>
      <c r="I52" s="47" t="inlineStr">
        <is>
          <t>Massa (+0,2–0,5 kg per 2 teste), potenza (&lt; 1 W), layout (campi di vista liberi, A5.7)</t>
        </is>
      </c>
      <c r="J52" s="47" t="inlineStr">
        <is>
          <t>DR-16, DR-15</t>
        </is>
      </c>
      <c r="K52" s="47" t="inlineStr">
        <is>
          <t>R-06</t>
        </is>
      </c>
      <c r="L52" s="47" t="inlineStr">
        <is>
          <t>Approvata</t>
        </is>
      </c>
      <c r="M52" s="47" t="n"/>
      <c r="N52" s="47" t="inlineStr">
        <is>
          <t>A5.3 f) – chat del 24/10/2026; Rocket Lab star trackers product sheet; SatNow Sagitta</t>
        </is>
      </c>
      <c r="O52" s="47" t="inlineStr">
        <is>
          <t>Riguarda solo la parte GNC. Allineamento telescopio–star tracker (termoelastico) da valutare in Fase B | 31/10/2026 (D-123): paraluce corto (185 g per testa) perché il grande non entra nella L accanto al telescopio; esclusione del Sole da verificare in Fase B</t>
        </is>
      </c>
    </row>
    <row r="53">
      <c r="A53" s="47" t="inlineStr">
        <is>
          <t>D-052</t>
        </is>
      </c>
      <c r="B53" s="48" t="n">
        <v>46319</v>
      </c>
      <c r="C53" s="47" t="inlineStr">
        <is>
          <t>A5</t>
        </is>
      </c>
      <c r="D53" s="47" t="inlineStr">
        <is>
          <t>Giuliano</t>
        </is>
      </c>
      <c r="E53" s="47" t="inlineStr">
        <is>
          <t>GNC</t>
        </is>
      </c>
      <c r="F53" s="47" t="inlineStr">
        <is>
          <t>Nessun giroscopio di riserva nella baseline di Fase A (B1). Idea da rivalutare in A5.7 / Fase B: GY1 (MEMS tattico, classe STIM300, &lt; 55 g, 1,5 W) come riserva a freddo per detumbling, safe, spinta e antenne, non per le riprese</t>
        </is>
      </c>
      <c r="G53" s="47" t="inlineStr">
        <is>
          <t>B2: GY1 come riserva a freddo già in baseline</t>
        </is>
      </c>
      <c r="H53" s="47" t="inlineStr">
        <is>
          <t>Volumi e layout non ancora noti (A5.7): la riserva si decide quando si vede quanto spazio resta. Il costo sarebbe piccolo (+55 g, +1,5 W)</t>
        </is>
      </c>
      <c r="I53" s="47" t="inlineStr">
        <is>
          <t>A5.7, Fase B (FDIR)</t>
        </is>
      </c>
      <c r="J53" s="47" t="inlineStr">
        <is>
          <t>DR-18</t>
        </is>
      </c>
      <c r="K53" s="47" t="inlineStr">
        <is>
          <t>R-06, R-27</t>
        </is>
      </c>
      <c r="L53" s="47" t="inlineStr">
        <is>
          <t>Approvata</t>
        </is>
      </c>
      <c r="M53" s="47" t="n"/>
      <c r="N53" s="47" t="inlineStr">
        <is>
          <t>A5.3 f) – chat del 24/10/2026</t>
        </is>
      </c>
      <c r="O53" s="47" t="inlineStr">
        <is>
          <t>Riguarda solo la parte GNC. Senza riserva, un guasto di GY2 lascia star tracker e magnetometro: satellite governabile in modo più povero, riprese di qualità perse</t>
        </is>
      </c>
    </row>
    <row r="54">
      <c r="A54" s="47" t="inlineStr">
        <is>
          <t>D-053</t>
        </is>
      </c>
      <c r="B54" s="48" t="n">
        <v>46319</v>
      </c>
      <c r="C54" s="47" t="inlineStr">
        <is>
          <t>A5</t>
        </is>
      </c>
      <c r="D54" s="47" t="inlineStr">
        <is>
          <t>Giuliano</t>
        </is>
      </c>
      <c r="E54" s="47" t="inlineStr">
        <is>
          <t>GNC</t>
        </is>
      </c>
      <c r="F54" s="47" t="inlineStr">
        <is>
          <t>Valore numerico di DR-02 (J2): ampiezza del jitter ad alta frequenza ≤ 0,15 pixel PAN (0,74 µrad), cioè ≤ 0,3 pixel picco-picco tra i passaggi del TDI; dentro una riga da 0,2 ms il mosso resta &lt; 0,1 µrad</t>
        </is>
      </c>
      <c r="G54" s="47" t="inlineStr">
        <is>
          <t>J1: 0,1 pixel (0,49 µrad, MTF ×0,975, probabilmente isolatori); J3: 0,25 pixel (1,23 µrad, MTF ×0,85)</t>
        </is>
      </c>
      <c r="H54" s="47" t="inlineStr">
        <is>
          <t>Perdita di contrasto a Nyquist piccola (MTF ×0,945: sistema da 0,28 a ~0,26) rispetto al compito (danni da ~2 m); valore verificabile in Fase B con i dati di microvibrazione delle ruote. Il vincolo vero è tra i passaggi del TDI (0,15 s), che il giroscopio non corregge</t>
        </is>
      </c>
      <c r="I54" s="47" t="inlineStr">
        <is>
          <t>Qualità d'immagine (bilancio MTF di Giuseppe), ruote e loro montaggio (Fase B), D-032</t>
        </is>
      </c>
      <c r="J54" s="47" t="inlineStr">
        <is>
          <t>DR-02, DR-12</t>
        </is>
      </c>
      <c r="K54" s="47" t="inlineStr">
        <is>
          <t>R-28, R-18</t>
        </is>
      </c>
      <c r="L54" s="47" t="inlineStr">
        <is>
          <t>Approvata</t>
        </is>
      </c>
      <c r="M54" s="47" t="n"/>
      <c r="N54" s="47" t="inlineStr">
        <is>
          <t>A5.3 g) – chat del 24/10/2026</t>
        </is>
      </c>
      <c r="O54" s="47" t="inlineStr">
        <is>
          <t>Proposta: fissa un pezzo del bilancio di qualità dell'immagine di Giuseppe. Dati di sbilanciamento delle ruote non pubblicati nei datasheet: verifica in Fase B. A5.4.5: stima a corpo rigido del jitter delle ruote e requisito di bilanciamento in D-059. A 8600 giri/min (143 Hz) il mosso in una riga da 0,2 ms è ≤ 0,18 × ampiezza = 0,13 µrad 26/10/2026 Giuseppe: approvata. MTF a Nyquist da 0,28 a ~0,26 accettata. Il bilancio MTF payload va completato in A5 payload (mosso lungo traccia dello scatto da 0,2 ms ≈ 1 pixel, ×0,64).</t>
        </is>
      </c>
    </row>
    <row r="55">
      <c r="A55" s="47" t="inlineStr">
        <is>
          <t>D-054</t>
        </is>
      </c>
      <c r="B55" s="48" t="n">
        <v>46319</v>
      </c>
      <c r="C55" s="47" t="inlineStr">
        <is>
          <t>A5</t>
        </is>
      </c>
      <c r="D55" s="47" t="inlineStr">
        <is>
          <t>Giuliano</t>
        </is>
      </c>
      <c r="E55" s="47" t="inlineStr">
        <is>
          <t>GNC</t>
        </is>
      </c>
      <c r="F55" s="47" t="inlineStr">
        <is>
          <t>Compensazione della deriva laterale dovuta alla rotazione terrestre (Y3): yaw steering in ripresa diurna (imbardata di 2,4–2,9°, variabile lentamente con la latitudine) più correzione a bordo del residuo nella traslazione di D-040</t>
        </is>
      </c>
      <c r="G55" s="47" t="inlineStr">
        <is>
          <t>Y1: solo yaw steering; Y2: solo correzione a bordo (2,8% di strisciata a colori persa, più lavoro sulla scheda)</t>
        </is>
      </c>
      <c r="H55" s="47" t="inlineStr">
        <is>
          <t>Senza compensazione il terreno si sposta di traverso di 51 m (34 pixel) tra i passaggi TDI e di 270 m tra PAN e ultima banda. Lo yaw steering costa quasi nulla all'ADCS ed è la pratica standard; la traslazione a bordo esiste già (D-040), quindi il residuo non aggiunge funzioni</t>
        </is>
      </c>
      <c r="I55" s="47" t="inlineStr">
        <is>
          <t>Guida d'assetto in ripresa diurna, D-040, D-032</t>
        </is>
      </c>
      <c r="J55" s="47" t="inlineStr">
        <is>
          <t>DR-24, DR-05</t>
        </is>
      </c>
      <c r="K55" s="47" t="inlineStr">
        <is>
          <t>R-15</t>
        </is>
      </c>
      <c r="L55" s="47" t="inlineStr">
        <is>
          <t>Approvata</t>
        </is>
      </c>
      <c r="M55" s="47" t="n"/>
      <c r="N55" s="47" t="inlineStr">
        <is>
          <t>A5.3 g) – chat del 24/10/2026; PULSE_ADCS/A5.3/rotazione.py</t>
        </is>
      </c>
      <c r="O55" s="47" t="inlineStr">
        <is>
          <t>Riguarda la parte GNC e riduce il lavoro di Giuseppe: da comunicargli</t>
        </is>
      </c>
    </row>
    <row r="56">
      <c r="A56" s="47" t="inlineStr">
        <is>
          <t>D-055</t>
        </is>
      </c>
      <c r="B56" s="48" t="n">
        <v>46319</v>
      </c>
      <c r="C56" s="47" t="inlineStr">
        <is>
          <t>A5</t>
        </is>
      </c>
      <c r="D56" s="47" t="inlineStr">
        <is>
          <t>Giuliano</t>
        </is>
      </c>
      <c r="E56" s="47" t="inlineStr">
        <is>
          <t>Gestione</t>
        </is>
      </c>
      <c r="F56" s="47" t="inlineStr">
        <is>
          <t>Scopo di A5.4 riformulato (S3): i tre punti previsti (valore di DR-02, scelta per DR-05, stabilità nella FMC notturna) risultano già trattati in A5.3 (D-053, D-040, DR-10/DR-11 verificati; D-030 e D-031 approvate). A5.4 diventa: tabella unica del puntamento per modo (APE, AKE, deriva, jitter) + chiusura dei buchi: DR-08, geometria della FMC e imbardata, puntamento fuori dalle riprese, jitter delle ruote</t>
        </is>
      </c>
      <c r="G56" s="47" t="inlineStr">
        <is>
          <t>S1: chiudere A5.4 come già fatto in A5.3; S2: solo tabella di consolidamento senza chiudere i buchi</t>
        </is>
      </c>
      <c r="H56" s="47" t="inlineStr">
        <is>
          <t>Requisiti di puntamento completi e verificati per la PRR; i buchi rimasti (DR-08 TBC, modi senza valori, jitter solo dichiarato) si chiudevano con poco lavoro e con i risultati di simulazione già disponibili</t>
        </is>
      </c>
      <c r="I56" s="47" t="inlineStr">
        <is>
          <t>A5.4, report A5, PRR</t>
        </is>
      </c>
      <c r="J56" s="47" t="inlineStr">
        <is>
          <t>DR-02, DR-05, DR-08, DR-10, DR-11</t>
        </is>
      </c>
      <c r="K56" s="47" t="n"/>
      <c r="L56" s="47" t="inlineStr">
        <is>
          <t>Approvata</t>
        </is>
      </c>
      <c r="M56" s="47" t="n"/>
      <c r="N56" s="47" t="inlineStr">
        <is>
          <t>A5.4 – chat del 24/10/2026</t>
        </is>
      </c>
      <c r="O56" s="47" t="inlineStr">
        <is>
          <t>Riguarda solo la parte GNC. La descrizione di A5.4 nel piano di A5 (DR-05 tra 0,0002°/s e 0,001°/s con riallineamento a terra; D-030/D-031 aperte) non era più aggiornata</t>
        </is>
      </c>
    </row>
    <row r="57">
      <c r="A57" s="47" t="inlineStr">
        <is>
          <t>D-056</t>
        </is>
      </c>
      <c r="B57" s="48" t="n">
        <v>46319</v>
      </c>
      <c r="C57" s="47" t="inlineStr">
        <is>
          <t>A5</t>
        </is>
      </c>
      <c r="D57" s="47" t="inlineStr">
        <is>
          <t>Giuliano</t>
        </is>
      </c>
      <c r="E57" s="47" t="inlineStr">
        <is>
          <t>GNC</t>
        </is>
      </c>
      <c r="F57" s="47" t="inlineStr">
        <is>
          <t>Riallineamento a bordo (G4): bande RGB-NIR, passaggi TDI e scatti notturni dello shift-and-add si riallineano con un modello geometrico completo (orbita GNSS, assetto misurato da giroscopio e star tracker, DEM di bordo), cioè la stessa funzione di ortorettifica di MR-10, e non con una traslazione unica; in FMC notturna fuori nadir la guida comanda l'imbardata che annulla la rotazione della scena (0,39°/s a 30°, 0,56°/s a 45°). Resta la deriva diurna ≤ 0,001°/s (opzione C di D-040)</t>
        </is>
      </c>
      <c r="G57" s="47" t="inlineStr">
        <is>
          <t>G1: sola traslazione (metodo di D-040); G2: omografia del piano senza DEM; G3: geometria + DEM senza legge d'imbardata</t>
        </is>
      </c>
      <c r="H57" s="47" t="inlineStr">
        <is>
          <t>Con la sola traslazione, a 30° di traverso il bordo del campo si sposta di 45 µrad nella raffica città (soglia 5,2) e di 67 µrad nella raffica paesi (soglia 10,5); va bene solo a nadir entro ±0,7–1,1 s dal passaggio. Parallasse del rilievo senza DEM: dislivello ammesso ~50 m sulle bande, ~120 m sul TDI, ~300 m di notte (Appennino oltre). Con il DEM il residuo è &lt; 0,3 µrad. La legge d'imbardata riporta il singolo scatto a 45° da 6,4 a 4,6 µrad (soglia 5,2) e costa ≤ 0,006 N·m·s</t>
        </is>
      </c>
      <c r="I57" s="47" t="inlineStr">
        <is>
          <t>Scheda di bordo (calcolo del riallineamento in tempo reale, DR-13), guida d'assetto in FMC, D-030, D-032, MR-10</t>
        </is>
      </c>
      <c r="J57" s="47" t="inlineStr">
        <is>
          <t>DR-05, DR-25, DR-26, DR-13, DR-17, DR-18, MR-10</t>
        </is>
      </c>
      <c r="K57" s="47" t="inlineStr">
        <is>
          <t>R-15, R-21, R-25, R-29</t>
        </is>
      </c>
      <c r="L57" s="47" t="inlineStr">
        <is>
          <t>Approvata</t>
        </is>
      </c>
      <c r="M57" s="47" t="n"/>
      <c r="N57" s="47" t="inlineStr">
        <is>
          <t>A5.4 – chat del 24/10/2026; PULSE_ADCS/A5.4 (geometria_fmc.py)</t>
        </is>
      </c>
      <c r="O57" s="47" t="inlineStr">
        <is>
          <t>Proposta: cambia il metodo di riallineamento della scheda di Giuseppe (D-030, D-032) e sostituisce D-040. La deriva e il giroscopio (D-050) restano invariati. Carico indicativo: ~210 Mpixel/s di notte a 1×1 (4,2 Mpixel a 50 immagini/s), da valutare da Giuseppe 26/10/2026 Giuseppe: approvata. Già seguita in A4 (risolve R-21). Carico scheda: il caso diurno (~630 Mpixel/s in ingresso) supera il notturno (~210); valutare elaborazione in memoria tra due bersagli (notte ~1,3 Mpixel/s medi). Dimensionamento in A5 payload (DR-13).</t>
        </is>
      </c>
    </row>
    <row r="58">
      <c r="A58" s="47" t="inlineStr">
        <is>
          <t>D-057</t>
        </is>
      </c>
      <c r="B58" s="48" t="n">
        <v>46319</v>
      </c>
      <c r="C58" s="47" t="inlineStr">
        <is>
          <t>A5</t>
        </is>
      </c>
      <c r="D58" s="47" t="inlineStr">
        <is>
          <t>Giuliano</t>
        </is>
      </c>
      <c r="E58" s="47" t="inlineStr">
        <is>
          <t>GNC</t>
        </is>
      </c>
      <c r="F58" s="47" t="inlineStr">
        <is>
          <t>DR-08 riformulato (T2): la manovra si completa prima della finestra (slew diurno di 45° ≤ 60 s, DR-19; aggancio notturno della linea di vista con profilo dolce ≤ 120 s); dentro la finestra assestamento + ripresa ≤ 10 s (finestra 47,7 s a 30°, 84 s a 45°)</t>
        </is>
      </c>
      <c r="G58" s="47" t="inlineStr">
        <is>
          <t>T1: lasciare DR-08 com'è (≤ 50 s a 30°, ≤ 90 s a 45°) e segnarlo verificato</t>
        </is>
      </c>
      <c r="H58" s="47" t="inlineStr">
        <is>
          <t>Simulazione 1-asse con GY2: assestamento diurno 1,1–2,6 s dopo il commissioning (7,1 s prima, con inerzia nominale), notturno ~0 s; ripresa 0,36 s di notte, ~2,2 s di giorno (scena di 10 km + 0,79 s di bande). Il vincolo vero è tra due bersagli successivi: distanza minima tra bersagli notturni dello stesso satellite ~370–660 km (limite ideale)</t>
        </is>
      </c>
      <c r="I58" s="47" t="inlineStr">
        <is>
          <t>Pianificazione delle riprese (A6, Fase B), R-06</t>
        </is>
      </c>
      <c r="J58" s="47" t="inlineStr">
        <is>
          <t>DR-08, DR-19, DR-11</t>
        </is>
      </c>
      <c r="K58" s="47" t="inlineStr">
        <is>
          <t>R-06</t>
        </is>
      </c>
      <c r="L58" s="47" t="inlineStr">
        <is>
          <t>Approvata</t>
        </is>
      </c>
      <c r="M58" s="47" t="n"/>
      <c r="N58" s="47" t="inlineStr">
        <is>
          <t>A5.4 – chat del 24/10/2026; PULSE_ADCS/A5.4 (assestamento.py)</t>
        </is>
      </c>
      <c r="O58" s="47" t="inlineStr">
        <is>
          <t>Riguarda solo la parte GNC. Verifica 3-assi in Fase B</t>
        </is>
      </c>
    </row>
    <row r="59">
      <c r="A59" s="47" t="inlineStr">
        <is>
          <t>D-058</t>
        </is>
      </c>
      <c r="B59" s="48" t="n">
        <v>46319</v>
      </c>
      <c r="C59" s="47" t="inlineStr">
        <is>
          <t>A5</t>
        </is>
      </c>
      <c r="D59" s="47" t="inlineStr">
        <is>
          <t>Giuliano</t>
        </is>
      </c>
      <c r="E59" s="47" t="inlineStr">
        <is>
          <t>GNC</t>
        </is>
      </c>
      <c r="F59" s="47" t="inlineStr">
        <is>
          <t>Puntamento fuori dalle riprese, valori provvisori (V2): spinta entro 5° dalla velocità; capacità di inseguire una stazione di terra con errore ≤ 1° (uso deciso nel passo TT&amp;C con la scelta dell'antenna); safe mode con Sole entro 15° dalla normale dei pannelli e AKE ≤ 1° (come EarthNext)</t>
        </is>
      </c>
      <c r="G59" s="47" t="inlineStr">
        <is>
          <t>V1: stretti (spinta ≤ 1°, inseguimento della stazione obbligatorio, Sole ≤ 5°); V3: tutto TBD fino al passo TT&amp;C e ad A5.6</t>
        </is>
      </c>
      <c r="H59" s="47" t="inlineStr">
        <is>
          <t>Spinta: 5° costano lo 0,38% del ΔV (0,85 m/s in vita su 45 m/s di margine). Contatti: con antenna fissa a nadir e fascio ±60° resta il 29–37% del tempo di contatto, con ±70° il 97–98% (durate GMAT). Safe: 15° → 96,6% della potenza dei pannelli</t>
        </is>
      </c>
      <c r="I59" s="47" t="inlineStr">
        <is>
          <t>Potenza (A5.6), TT&amp;C (antenne, link budget), operazioni (contatti contro spinta, R-14)</t>
        </is>
      </c>
      <c r="J59" s="47" t="inlineStr">
        <is>
          <t>DR-27, DR-28, DR-29, DR-37</t>
        </is>
      </c>
      <c r="K59" s="47" t="inlineStr">
        <is>
          <t>R-07, R-14</t>
        </is>
      </c>
      <c r="L59" s="47" t="inlineStr">
        <is>
          <t>Approvata</t>
        </is>
      </c>
      <c r="M59" s="47" t="n"/>
      <c r="N59" s="47" t="inlineStr">
        <is>
          <t>A5.4 – chat del 24/10/2026; PULSE_ADCS/A5.4 (altri_modi.py)</t>
        </is>
      </c>
      <c r="O59" s="47" t="inlineStr">
        <is>
          <t>Proposta: il puntamento in safe entra nel bilancio di potenza in comune (A5.6). Valori TBC 26/10/2026 Giuseppe: approvata. Aggiunto DR-37: il Sole non deve mai entrare nel telescopio (angolo TBD), coperchio chiuso in safe e fino al commissioning. Potenza dei riscaldatori di sopravvivenza payload in safe da Giuseppe (A5 payload).</t>
        </is>
      </c>
    </row>
    <row r="60" s="26">
      <c r="A60" s="47" t="inlineStr">
        <is>
          <t>D-059</t>
        </is>
      </c>
      <c r="B60" s="48" t="n">
        <v>46319</v>
      </c>
      <c r="C60" s="47" t="inlineStr">
        <is>
          <t>A5</t>
        </is>
      </c>
      <c r="D60" s="47" t="inlineStr">
        <is>
          <t>Giuliano</t>
        </is>
      </c>
      <c r="E60" s="47" t="inlineStr">
        <is>
          <t>GNC</t>
        </is>
      </c>
      <c r="F60" s="47" t="inlineStr">
        <is>
          <t>Jitter delle ruote (J-b): requisito di acquisto per ruota Us ≤ 1 g·mm e Ud ≤ 10 g·mm²; ruote entro 10 cm dal baricentro; nessuna risonanza della struttura (telescopio, pannelli) nella banda di velocità delle ruote, oppure velocità operative che la evitano; isolatori come riserva</t>
        </is>
      </c>
      <c r="G60" s="47" t="inlineStr">
        <is>
          <t>J-a: rinvio alla Fase B senza nuovi requisiti; J-c: isolatori di serie nella baseline</t>
        </is>
      </c>
      <c r="H60" s="47" t="inlineStr">
        <is>
          <t>Corpo rigido θ = (Ud + Us·d)/I: con ruote ben bilanciate (dati CubeSpace) 0,03–0,25 µrad per 4 ruote contro 0,74 µrad di DR-02; con il solo obiettivo NASA per CubeSat (1,5 g·mm, 20 g·mm²) 0,53 µrad. Una risonanza con Q oltre ~4–20 supera DR-02. Sbilanciamento della RWp100 non pubblicato</t>
        </is>
      </c>
      <c r="I60" s="47" t="inlineStr">
        <is>
          <t>Scelta e acquisto delle ruote, layout (A5.7), progetto strutturale (Fase B), D-048, D-053</t>
        </is>
      </c>
      <c r="J60" s="47" t="inlineStr">
        <is>
          <t>DR-30, DR-02, DR-38</t>
        </is>
      </c>
      <c r="K60" s="47" t="inlineStr">
        <is>
          <t>R-28</t>
        </is>
      </c>
      <c r="L60" s="47" t="inlineStr">
        <is>
          <t>Approvata</t>
        </is>
      </c>
      <c r="M60" s="47" t="n"/>
      <c r="N60" s="47" t="inlineStr">
        <is>
          <t>A5.4 – chat del 24/10/2026; PULSE_ADCS/A5.4 (jitter_ruote.py)</t>
        </is>
      </c>
      <c r="O60" s="47" t="inlineStr">
        <is>
          <t>Proposta: la posizione delle ruote vincola il layout in comune (A5.7). Da chiedere al costruttore lo sbilanciamento della RWp100 26/10/2026 Giuseppe: approvata. Aggiunto DR-38: prima frequenza propria del telescopio fuori dalla banda di velocità delle ruote (TBD, Fase B). Centro del satellite conteso tra ruote, iodio e telescopio: da vedere insieme in A5.7.</t>
        </is>
      </c>
    </row>
    <row r="61">
      <c r="A61" s="47" t="inlineStr">
        <is>
          <t>D-060</t>
        </is>
      </c>
      <c r="B61" s="48" t="n">
        <v>46321</v>
      </c>
      <c r="C61" s="47" t="inlineStr">
        <is>
          <t>A4</t>
        </is>
      </c>
      <c r="D61" s="47" t="inlineStr">
        <is>
          <t>Giuseppe</t>
        </is>
      </c>
      <c r="E61" s="47" t="inlineStr">
        <is>
          <t>AI / Dati</t>
        </is>
      </c>
      <c r="F61" s="47" t="inlineStr">
        <is>
          <t>Casi di progetto per la conferma del blackout (opzione B): il metodo deve riconoscere nuvole spesse e sottili, nebbia, luna, neve e illuminazione pubblica ridotta; in questi casi l'allarme diventa "non confermabile", mai "blackout". Fumo: con un incendio nella zona l'allarme è "non confermabile". Scatti mal riallineati: controllo di qualità a bordo</t>
        </is>
      </c>
      <c r="G61" s="47" t="inlineStr">
        <is>
          <t>A: tutti gli 8 casi di progetto (fumo e neve troppo complessi già in Fase A); C: solo nuvole spesse e luna (nebbia e luci ridotte inventano blackout, contro D-013)</t>
        </is>
      </c>
      <c r="H61" s="47" t="inlineStr">
        <is>
          <t>Copre i casi frequenti in Italia (nebbia padana, luna, neve alpina) e tutti quelli che possono inventare un blackout; fumo e artefatti si gestiscono con regole semplici</t>
        </is>
      </c>
      <c r="I61" s="47" t="inlineStr">
        <is>
          <t>A4.2–A4.6 (riferimento, nuvole, luna, soglia, catena di conferma); scheda AI (controllo di qualità)</t>
        </is>
      </c>
      <c r="J61" s="47" t="inlineStr">
        <is>
          <t>MR-07</t>
        </is>
      </c>
      <c r="K61" s="47" t="inlineStr">
        <is>
          <t>R-03, R-16, R-21, R-30, R-31</t>
        </is>
      </c>
      <c r="L61" s="47" t="inlineStr">
        <is>
          <t>Approvata</t>
        </is>
      </c>
      <c r="M61" s="47" t="n"/>
      <c r="N61" s="47" t="inlineStr">
        <is>
          <t>Report A4, A4.1</t>
        </is>
      </c>
      <c r="O61" s="47" t="inlineStr">
        <is>
          <t>Riguarda solo payload/AI. Passaggio notturno sull'Italia ~22:00–22:10 ora solare (~21:45–22:45 d'inverno, ~22:45–23:45 d'estate in ora legale): stima di primo ordine da far confermare a Giuliano con GMAT 26/10/2026 Giuliano: ora confermata con le uscite GMAT (gen 2026, 4 satelliti, 5 bersagli). Al nadir 22:10 (36,6°N) → 22:01 (47,1°N) ora solare media (LTAN 22:30, i = 96,8°); centro degli accessi 21:54–22:18 a 30°, 21:47–22:23 a 45°; ora civile 21:54–22:50 CET, 22:54–23:50 CEST. Orbita eliosincrona: stessa ora tutto l'anno.</t>
        </is>
      </c>
    </row>
    <row r="62">
      <c r="A62" s="47" t="inlineStr">
        <is>
          <t>D-061</t>
        </is>
      </c>
      <c r="B62" s="48" t="n">
        <v>46321</v>
      </c>
      <c r="C62" s="47" t="inlineStr">
        <is>
          <t>A4</t>
        </is>
      </c>
      <c r="D62" s="47" t="inlineStr">
        <is>
          <t>Giuseppe</t>
        </is>
      </c>
      <c r="E62" s="47" t="inlineStr">
        <is>
          <t>AI / Dati</t>
        </is>
      </c>
      <c r="F62" s="47" t="inlineStr">
        <is>
          <t>Riferimento "prima" (opzione D): mappe notturne VIIRS Black Marble mensili/annuali (~500 m) come base per tutta Italia; immagini PULSE di notti normali (4,8 m, raccolte senza luna e senza nuvole su città e zone a rischio) come riferimento principale dove esistono; vettori OSM per sapere dove aspettarsi luce</t>
        </is>
      </c>
      <c r="G62" s="47" t="inlineStr">
        <is>
          <t>A: solo OSM (non misura il calo, falsi allarmi su zone normalmente spente); B: solo VIIRS (solo blackout ≥ ~1 km); C: solo PULSE pre-evento (anni per coprire l'Italia, assente nei primi mesi)</t>
        </is>
      </c>
      <c r="H62" s="47" t="inlineStr">
        <is>
          <t>Riferimento ovunque dal lancio, dettaglio a 4,8 m dove serve; le immagini PULSE misurano anche la differenza città per città tra le 22 (PULSE) e l'01:30 (VIIRS)</t>
        </is>
      </c>
      <c r="I62" s="47" t="inlineStr">
        <is>
          <t>A4.3–A4.6; memoria di bordo o a terra (A4.6, D-008); piano di raccolta notturna e scarico (Giuliano)</t>
        </is>
      </c>
      <c r="J62" s="47" t="inlineStr">
        <is>
          <t>MR-07</t>
        </is>
      </c>
      <c r="K62" s="47" t="inlineStr">
        <is>
          <t>R-03, R-30, R-32, R-33</t>
        </is>
      </c>
      <c r="L62" s="47" t="inlineStr">
        <is>
          <t>Approvata</t>
        </is>
      </c>
      <c r="M62" s="47" t="n"/>
      <c r="N62" s="47" t="inlineStr">
        <is>
          <t>Report A4, A4.2</t>
        </is>
      </c>
      <c r="O62" s="47" t="inlineStr">
        <is>
          <t>VIIRS Italia ~22 MB per mappa a 15″ (~270 MB per 12 mesi). Bias orario VIIRS 01:30 vs PULSE ~22:00 nel verso sicuro (blackout sottostimato, non inventato). Raccolta delle immagini d'archivio: tempo notturno, manovre e scarico da concordare con Giuliano (TBC in A4.6)</t>
        </is>
      </c>
    </row>
    <row r="63">
      <c r="A63" s="47" t="inlineStr">
        <is>
          <t>D-062</t>
        </is>
      </c>
      <c r="B63" s="48" t="n">
        <v>46321</v>
      </c>
      <c r="C63" s="47" t="inlineStr">
        <is>
          <t>A4</t>
        </is>
      </c>
      <c r="D63" s="47" t="inlineStr">
        <is>
          <t>Giuseppe</t>
        </is>
      </c>
      <c r="E63" s="47" t="inlineStr">
        <is>
          <t>AI / Dati</t>
        </is>
      </c>
      <c r="F63" s="47" t="inlineStr">
        <is>
          <t>Riconoscimento delle nuvole di notte (opzione D): a bordo indizi nell'immagine (nitidezza delle luci rispetto al riferimento, bordo della zona buia lungo strade OSM, nuvole illuminate dalla luna); a terra maschera nuvole Meteosat MTG (infrarosso, ogni 10 min, ~2–3 km) entro ±10 min dal passaggio. Conferma solo se i due controlli sono d'accordo; casi dubbi: seconda ripresa quando possibile, altrimenti "non confermabile"</t>
        </is>
      </c>
      <c r="G63" s="47" t="inlineStr">
        <is>
          <t>A: solo meteo MTG (nebbia incerta, pixel 2–3 km); B: solo indizi a bordo (debole con scena tutta coperta); C: solo seconda ripresa (rara, manovre, ritardo); sensore infrarosso a bordo (contro D-010)</t>
        </is>
      </c>
      <c r="H63" s="47" t="inlineStr">
        <is>
          <t>Due controlli indipendenti: un falso blackout richiede l'errore di entrambi (D-013); MTG gratuito e quasi in tempo reale, non costa nulla al satellite</t>
        </is>
      </c>
      <c r="I63" s="47" t="inlineStr">
        <is>
          <t>Scheda AI (indizi a bordo); catena a terra (MTG); A4.6; GNC per la seconda ripresa</t>
        </is>
      </c>
      <c r="J63" s="47" t="inlineStr">
        <is>
          <t>MR-07</t>
        </is>
      </c>
      <c r="K63" s="47" t="inlineStr">
        <is>
          <t>R-03, R-34</t>
        </is>
      </c>
      <c r="L63" s="47" t="inlineStr">
        <is>
          <t>Approvata</t>
        </is>
      </c>
      <c r="M63" s="47" t="n"/>
      <c r="N63" s="47" t="inlineStr">
        <is>
          <t>Report A4, A4.3</t>
        </is>
      </c>
      <c r="O63" s="47" t="inlineStr">
        <is>
          <t>Seconda ripresa: satellite successivo dopo 22,6 min, tracce distanti ~470 km a 42°N, possibile solo a ≥ ~38° off-nadir (modalità degradata notturna, MR-05) per ~1/3 dei bersagli; uso da confermare con Giuliano (TBC). Accesso ai dati MTG EUMETSAT da verificare 26/10/2026 Giuliano (D-066, Proposta): seconda ripresa pianificata in anticipo dove la geometria lo permette. Frazione dei casi da GMAT: 16% (19/120) partendo da prime riprese ≤ 30°, 28% (59/209) da ≤ 45°, non ~1/3 (limite geometrico ideale); intervallo 21,6–23,2 min.</t>
        </is>
      </c>
    </row>
    <row r="64">
      <c r="A64" s="47" t="inlineStr">
        <is>
          <t>D-063</t>
        </is>
      </c>
      <c r="B64" s="48" t="n">
        <v>46321</v>
      </c>
      <c r="C64" s="47" t="inlineStr">
        <is>
          <t>A4</t>
        </is>
      </c>
      <c r="D64" s="47" t="inlineStr">
        <is>
          <t>Giuseppe</t>
        </is>
      </c>
      <c r="E64" s="47" t="inlineStr">
        <is>
          <t>AI / Dati</t>
        </is>
      </c>
      <c r="F64" s="47" t="inlineStr">
        <is>
          <t>Luce lunare (opzione C): il fondo lunare si misura nella stessa immagine su zone vicine non illuminate (campi, da OSM e VIIRS), corretto con l'albedo del suolo da immagini diurne (PULSE o Sentinel-2), e si sottrae prima del confronto con il riferimento. Con neve e luna i paesi sono "non confermabili"; i quartieri restano confermabili</t>
        </is>
      </c>
      <c r="G64" s="47" t="inlineStr">
        <is>
          <t>A: ignorare la luna (paesi spenti persi nelle notti di luna); B: fondo calcolato con modello (errore ~30%, paesi solo fino a ~2 nW); D: nessuna conferma sui paesi con fondo &gt; 1 nW (~5 notti al mese perse)</t>
        </is>
      </c>
      <c r="H64" s="47" t="inlineStr">
        <is>
          <t>Errore sul fondo ~10% (ipotesi): con il fondo massimo di 4,5 nW l'incertezza è ~0,45 nW contro i 5 nW del paese (rapporto ~11). La luna aiuta anche a vedere le nuvole (D-062)</t>
        </is>
      </c>
      <c r="I64" s="47" t="inlineStr">
        <is>
          <t>Scheda AI (stima del fondo); mappa di albedo (memoria, A4.6); A4.5 soglia</t>
        </is>
      </c>
      <c r="J64" s="47" t="inlineStr">
        <is>
          <t>MR-07</t>
        </is>
      </c>
      <c r="K64" s="47" t="inlineStr">
        <is>
          <t>R-16, R-35</t>
        </is>
      </c>
      <c r="L64" s="47" t="inlineStr">
        <is>
          <t>Approvata</t>
        </is>
      </c>
      <c r="M64" s="47" t="n"/>
      <c r="N64" s="47" t="inlineStr">
        <is>
          <t>Report A4, A4.4</t>
        </is>
      </c>
      <c r="O64" s="47" t="inlineStr">
        <is>
          <t>Calcolo 2027–2028 a 42°N, ~22:05 ora solare: luna sopra l'orizzonte nel 49% dei passaggi; fondo &gt; 1 nW nel 17% delle notti (~5/mese), &gt; 2,5 nW nel 6% (~2/mese); massimo 4,5 nW (estate 1,9). Il valore di 7 nW di A3 era con la luna allo zenit e senza atmosfera. Neve + luna ~24 nW. Errore 10% da verificare in Fase B</t>
        </is>
      </c>
    </row>
    <row r="65">
      <c r="A65" s="47" t="inlineStr">
        <is>
          <t>D-064</t>
        </is>
      </c>
      <c r="B65" s="48" t="n">
        <v>46321</v>
      </c>
      <c r="C65" s="47" t="inlineStr">
        <is>
          <t>A4</t>
        </is>
      </c>
      <c r="D65" s="47" t="inlineStr">
        <is>
          <t>Giuseppe</t>
        </is>
      </c>
      <c r="E65" s="47" t="inlineStr">
        <is>
          <t>AI / Dati</t>
        </is>
      </c>
      <c r="F65" s="47" t="inlineStr">
        <is>
          <t>Soglia "zona spenta" (opzione B): blackout se la luce, tolto il fondo lunare, cala di almeno il 70% rispetto al riferimento; calo tra 40% e 70% = "calo parziale", segnalato come informazione e non come allarme. Area minima: con riferimento PULSE celle da 150 m e allarme se almeno 2 × 2 celle vicine sono spente (~300 × 300 m); con solo VIIRS almeno 2 × 2 pixel VIIRS (~1 × 1 km)</t>
        </is>
      </c>
      <c r="G65" s="47" t="inlineStr">
        <is>
          <t>A: calo ≥ 50% (notte normale con luci ridotte = falso allarme, contro D-013); C: calo ≥ 90% (perde i blackout con auto e generatori accesi)</t>
        </is>
      </c>
      <c r="H65" s="47" t="inlineStr">
        <is>
          <t>Notte normale nel caso peggiore: calo ~60% (riduzione di flusso 50% + variazione tra notti ~20%, ipotesi); blackout vero nel caso peggiore: calo ~71% (luci residue 10–20% + errore lunare ~9%, ipotesi). La soglia del 70% sta tra i due</t>
        </is>
      </c>
      <c r="I65" s="47" t="inlineStr">
        <is>
          <t>Scheda AI; A4.6; risposta a D-042 (cella 150 m ≈ 3 volte l'errore di 53 m)</t>
        </is>
      </c>
      <c r="J65" s="47" t="inlineStr">
        <is>
          <t>MR-07</t>
        </is>
      </c>
      <c r="K65" s="47" t="inlineStr">
        <is>
          <t>R-30, R-32, R-36</t>
        </is>
      </c>
      <c r="L65" s="47" t="inlineStr">
        <is>
          <t>Approvata</t>
        </is>
      </c>
      <c r="M65" s="47" t="n"/>
      <c r="N65" s="47" t="inlineStr">
        <is>
          <t>Report A4, A4.5</t>
        </is>
      </c>
      <c r="O65" s="47" t="inlineStr">
        <is>
          <t>Margine stretto verso i blackout con molte luci rimaste: valori da tarare in Fase B su blackout reali. Per A4 la conoscenza d'assetto di 0,01° (D-042) va bene</t>
        </is>
      </c>
    </row>
    <row r="66" s="26">
      <c r="A66" s="47" t="inlineStr">
        <is>
          <t>D-065</t>
        </is>
      </c>
      <c r="B66" s="48" t="n">
        <v>46321</v>
      </c>
      <c r="C66" s="47" t="inlineStr">
        <is>
          <t>A4</t>
        </is>
      </c>
      <c r="D66" s="47" t="inlineStr">
        <is>
          <t>Giuseppe</t>
        </is>
      </c>
      <c r="E66" s="47" t="inlineStr">
        <is>
          <t>AI / Dati</t>
        </is>
      </c>
      <c r="F66" s="47" t="inlineStr">
        <is>
          <t>Catena di conferma ibrida (opzione C): a bordo primo filtro (riferimento VIIRS, mappa di albedo, OSM, fondo lunare, indizi nuvole, soglia D-064) che produce zone candidate; si scaricano vettori + ritaglio della zona (~0,26 MB per 2 × 2 km); a terra conferma finale con archivio PULSE e maschera MTG. Etichette: blackout confermato / calo parziale / non confermabile / nessun calo. A bordo si aggiungono a OSM + DEM (D-008) le mappe VIIRS (~22 MB a stagione) e l'albedo a 100 m (~30 MB)</t>
        </is>
      </c>
      <c r="G66" s="47" t="inlineStr">
        <is>
          <t>A: tutto a bordo (archivio PULSE di GB da caricare e aggiornare via radio sui 4 satelliti); B: tutto a terra (scena intera 1,6–6,3 MB per ogni ripresa notturna, scheda AI inutilizzata di notte, contro lo spirito di D-007)</t>
        </is>
      </c>
      <c r="H66" s="47" t="inlineStr">
        <is>
          <t>Scarico piccolo, archivio grande solo a terra, la scheda AI fa il primo filtro; dalla ripresa alle zone candidate a terra ~10 min (Fucino ancora in vista 48–195 s dopo la ripresa; Svalbard 5,4–7,9 min dopo, contatto 213–263 s; GMAT gen 2026, 4 satelliti), consegna ~20–30 min con la maschera MTG (TBC). Le 48 h di MR-02 si contano dalla richiesta: attesa del passaggio verificata in A1</t>
        </is>
      </c>
      <c r="I66" s="47" t="inlineStr">
        <is>
          <t>Memoria di bordo (+~50–300 MB, integra D-008); scarico (Giuliano: ritagli + scene di archivio); pianificazione delle riprese di archivio nelle notti libere (Giuliano)</t>
        </is>
      </c>
      <c r="J66" s="47" t="inlineStr">
        <is>
          <t>MR-07, MR-09, DR-31…DR-36</t>
        </is>
      </c>
      <c r="K66" s="47" t="inlineStr">
        <is>
          <t>R-03, R-37</t>
        </is>
      </c>
      <c r="L66" s="47" t="inlineStr">
        <is>
          <t>Approvata</t>
        </is>
      </c>
      <c r="M66" s="47" t="n"/>
      <c r="N66" s="47" t="inlineStr">
        <is>
          <t>Report A4, A4.6</t>
        </is>
      </c>
      <c r="O66" s="47" t="inlineStr">
        <is>
          <t>Proposta: tocca il volume da scaricare e la pianificazione notturna di Giuliano (riprese di archivio) e integra D-008 (decisione comune) 26/10/2026 Giuliano: approvata (opzione A), con la latenza corretta nel motivo. La stima precedente (~9–10 h, contatto entro 8,8 h) usava il buco massimo della rete, che inizia subito dopo il contatto Svalbard della notte. Scarico delle scene d'archivio: D-067; seconda ripresa: D-066.</t>
        </is>
      </c>
    </row>
    <row r="67" s="26">
      <c r="A67" s="47" t="inlineStr">
        <is>
          <t>D-066</t>
        </is>
      </c>
      <c r="B67" s="48" t="n">
        <v>46321</v>
      </c>
      <c r="C67" s="47" t="inlineStr">
        <is>
          <t>A4</t>
        </is>
      </c>
      <c r="D67" s="47" t="inlineStr">
        <is>
          <t>Giuliano</t>
        </is>
      </c>
      <c r="E67" s="47" t="inlineStr">
        <is>
          <t>GNC</t>
        </is>
      </c>
      <c r="F67" s="47" t="inlineStr">
        <is>
          <t>Seconda ripresa notturna per i casi dubbi (B): pianificata in anticipo, il satellite successivo riprende lo stesso bersaglio notturno quando entrambi lo vedono entro 45° off-nadir (modalità degradata, MR-05) e lo slot è libero; la ripresa si usa a terra solo se serve. Seconda ripresa su richiesta nella stessa notte (C) da valutare in Fase B</t>
        </is>
      </c>
      <c r="G67" s="47" t="inlineStr">
        <is>
          <t>A: nessuna seconda ripresa (dubbi "non confermabile" fino alla notte dopo); C: seconda ripresa su richiesta nella stessa notte (scarico via Fucino, controllo MTG, comando al satellite successivo in ~22 min), rimandata alla Fase B</t>
        </is>
      </c>
      <c r="H67" s="47" t="inlineStr">
        <is>
          <t>GMAT (gen 2026, 4 satelliti, 5 bersagli): seconda ripresa possibile nel 16% dei casi (19/120) partendo da prime riprese ≤ 30°, nel 28% (59/209) da ≤ 45°; intervallo 21,6–23,2 min. Lato GNC ok a 38–45°: finestra 84 s a 45° (D-044), scatto singolo 4,6 µrad su 5,2 con la legge d'imbardata (D-056). B non richiede un giro veloce a terra; C lascerebbe ~22 min per scarico, maschera MTG (latenza TBC) e comando, con Fucino usato anche per i dati</t>
        </is>
      </c>
      <c r="I67" s="47" t="inlineStr">
        <is>
          <t>Pianificazione delle riprese notturne (A6, Fase B), slot del satellite successivo, D-062, catena a terra (D-065)</t>
        </is>
      </c>
      <c r="J67" s="47" t="inlineStr">
        <is>
          <t>DR-39, MR-05, MR-07, DR-11</t>
        </is>
      </c>
      <c r="K67" s="47" t="inlineStr">
        <is>
          <t>R-38, R-34</t>
        </is>
      </c>
      <c r="L67" s="47" t="inlineStr">
        <is>
          <t>Approvata</t>
        </is>
      </c>
      <c r="M67" s="47" t="n"/>
      <c r="N67" s="47" t="inlineStr">
        <is>
          <t>Chat del 26/10/2026; uscite GMAT PULSE*_accessi_30deg / 45deg</t>
        </is>
      </c>
      <c r="O67" s="47" t="inlineStr">
        <is>
          <t>Proposta: corregge la frazione di casi di D-062 (~1/3 → 16–28%) e occupa slot del satellite successivo nel piano di Giuseppe. Distanza minima tra bersagli notturni dello stesso satellite ~370–660 km (D-057) da rispettare nella pianificazione 29/10/2026 Giuseppe: approvata.</t>
        </is>
      </c>
    </row>
    <row r="68" s="26">
      <c r="A68" s="47" t="inlineStr">
        <is>
          <t>D-067</t>
        </is>
      </c>
      <c r="B68" s="48" t="n">
        <v>46321</v>
      </c>
      <c r="C68" s="47" t="inlineStr">
        <is>
          <t>A4</t>
        </is>
      </c>
      <c r="D68" s="47" t="inlineStr">
        <is>
          <t>Giuliano</t>
        </is>
      </c>
      <c r="E68" s="47" t="inlineStr">
        <is>
          <t>TT&amp;C / Terra</t>
        </is>
      </c>
      <c r="F68" s="47" t="inlineStr">
        <is>
          <t>Scarico delle scene notturne d'archivio (DR-36), opzione b: in coda a bassa priorità ai contatti successivi, entro 24 h, mai prima di allarmi e zone candidate (DR-35). Opzione a (contatto Svalbard della stessa notte, subito dopo le zone candidate) da rivalutare in A5.5 con la capacità di scarico. Numero di scene per notte da fissare in A5.5</t>
        </is>
      </c>
      <c r="G68" s="47" t="inlineStr">
        <is>
          <t>a: contatto Svalbard della stessa notte (da rivalutare in A5.5)</t>
        </is>
      </c>
      <c r="H68" s="47" t="inlineStr">
        <is>
          <t>Le scene d'archivio (1,6–6,3 MB) non hanno urgenza; il contatto Svalbard dopo il passaggio notturno dura 213–263 s ed è quello degli allarmi. Stima di primo ordine: 2–4 scene per satellite che attraversa l'Italia (~1.180 km lungo traccia, 370–660 km tra bersagli, D-057), senza nuvole, luna e potenza</t>
        </is>
      </c>
      <c r="I68" s="47" t="inlineStr">
        <is>
          <t>Budget dati e capacità di scarico (A5.5), pianificazione notturna, R-37</t>
        </is>
      </c>
      <c r="J68" s="47" t="inlineStr">
        <is>
          <t>DR-36, DR-35</t>
        </is>
      </c>
      <c r="K68" s="47" t="inlineStr">
        <is>
          <t>R-37</t>
        </is>
      </c>
      <c r="L68" s="47" t="inlineStr">
        <is>
          <t>Superata</t>
        </is>
      </c>
      <c r="M68" s="47" t="inlineStr">
        <is>
          <t>D-083</t>
        </is>
      </c>
      <c r="N68" s="47" t="inlineStr">
        <is>
          <t>Chat del 26/10/2026</t>
        </is>
      </c>
      <c r="O68" s="47" t="inlineStr">
        <is>
          <t>Riguarda solo lo scarico (parte di Giuliano): non cambia numeri di Giuseppe. Se A5.5 mostra margine nel contatto notturno, passare ad a per far crescere prima l'archivio (R-37) | 30/10/2026: superata da D-083 (scarico nello stesso contatto notturno, capacità verificata in A5.5.5).</t>
        </is>
      </c>
    </row>
    <row r="69">
      <c r="A69" s="47" t="inlineStr">
        <is>
          <t>D-068</t>
        </is>
      </c>
      <c r="B69" s="48" t="n">
        <v>46325</v>
      </c>
      <c r="C69" s="47" t="inlineStr">
        <is>
          <t>A5</t>
        </is>
      </c>
      <c r="D69" s="47" t="inlineStr">
        <is>
          <t>Giuliano</t>
        </is>
      </c>
      <c r="E69" s="47" t="inlineStr">
        <is>
          <t>TT&amp;C / Terra</t>
        </is>
      </c>
      <c r="F69" s="47" t="inlineStr">
        <is>
          <t>Antenne TT&amp;C (A4): baseline con due antenne a basso guadagno quasi omnidirezionali, una sulla faccia a nadir e una sulla faccia a zenit (classe EarthNext, 2 antenne S), che coprono qualunque assetto (riprese, spinta, safe, detumbling). Il puntamento della stazione (DR-28) resta come modo opzionale, da usare solo se A5.5.2 sceglie la banda X; antenne UHF eventuali (A5.5.2) omnidirezionali in aggiunta</t>
        </is>
      </c>
      <c r="G69" s="47" t="inlineStr">
        <is>
          <t>A1: una patch fissa a nadir ±60° (29–37% del contatto, niente collegamento in safe); A2: solo due antenne a basso guadagno, senza modo di puntamento; A3: antenna a guadagno medio con satellite che punta la stazione (niente spinta né riprese durante il contatto, DR-37 da verificare, serve comunque un'antenna per il safe)</t>
        </is>
      </c>
      <c r="H69" s="47" t="inlineStr">
        <is>
          <t>Comandi e telemetria disponibili in ogni assetto, anche in safe e durante la spinta (con L1 l'assetto di spinta è anche a nadir): nessun conflitto con R-14. Con fascio ±70° resta il 97–98% del contatto (71 min/giorno per satellite, GMAT gen 2026). Costo: a 10° di elevazione distanza 1.166 km contro 302 km allo zenit, 11,7 dB in più di perdita, da coprire nel link budget (A5.5.4). Il puntamento della stazione non richiede hardware: linea di vista max 1,47°/s, 0,029 N·m·s, 4,6·10⁻⁴ N·m, come la FMC (D-044, ruote D-048)</t>
        </is>
      </c>
      <c r="I69" s="47" t="inlineStr">
        <is>
          <t>Link budget (A5.5.4), massa e potenza TT&amp;C (A5.6, A5.7), layout della faccia a nadir (Giuseppe), DR-28</t>
        </is>
      </c>
      <c r="J69" s="47" t="inlineStr">
        <is>
          <t>DR-28, DR-40, DR-29</t>
        </is>
      </c>
      <c r="K69" s="47" t="inlineStr">
        <is>
          <t>R-14, R-39</t>
        </is>
      </c>
      <c r="L69" s="47" t="inlineStr">
        <is>
          <t>Approvata</t>
        </is>
      </c>
      <c r="M69" s="47" t="n"/>
      <c r="N69" s="47" t="inlineStr">
        <is>
          <t>A5.5.3 – chat del 30/10/2026; PULSE_ADCS A5.5 (antenne_geometria.py, conflitti.py)</t>
        </is>
      </c>
      <c r="O69" s="47" t="inlineStr">
        <is>
          <t>Proposta: l'antenna a nadir occupa spazio sulla faccia dell'apertura del telescopio (Giuseppe, superficie libera e compatibilità elettromagnetica TBC). Fucino è in vista durante il 100% delle riprese sull'Italia (giorno e notte): un comando da Fucino in quel passaggio richiede che l'antenna veda Fucino mentre si punta il bersaglio (geometria TBC). Di notte Svalbard arriva 5,0–7,9 min dopo la ripresa; di giorno il primo contatto principale 77 min dopo | 30/10/2026: posizione dell'antenna a nadir nella striscia libera di D-078 con patch compatta (D-080). Approvazione formale di Giuseppe da registrare (D-078 la presuppone). | Antenna a nadir: D-080. | 30/10/2026 Giuseppe: approvata (antenna a nadir nella striscia libera di D-078, patch ≤ 60 mm di D-080). | 30/10/2026 (D-082): l'UHF di riserva aggiunge un'antenna dispiegabile omnidirezionale.</t>
        </is>
      </c>
    </row>
    <row r="70">
      <c r="A70" s="47" t="inlineStr">
        <is>
          <t>D-069</t>
        </is>
      </c>
      <c r="B70" s="48" t="n">
        <v>46325</v>
      </c>
      <c r="C70" s="47" t="inlineStr">
        <is>
          <t>A5</t>
        </is>
      </c>
      <c r="D70" s="47" t="inlineStr">
        <is>
          <t>Giuliano</t>
        </is>
      </c>
      <c r="E70" s="47" t="inlineStr">
        <is>
          <t>TT&amp;C / Terra</t>
        </is>
      </c>
      <c r="F70" s="47" t="inlineStr">
        <is>
          <t>Discesa in banda S (V3): velocità nominale 4,3 Mbit/s utili (OQPSK 5 Msym/s, codifica CCSDS convoluzionale r1/2 + RS(255,223)) dall'inizio alla fine del contatto, con discesa automatica ai passi più bassi (2,15 / 1,08 / 0,54 Mbit/s…) se il margine cala (pioggia, stazione più piccola, antenna degradata). Unità di riferimento per i budget: classe ISIS TXS2 (132 g, 13 W in trasmissione, 1,5 W in attesa); trasmettitore spento tra i contatti. Salita S 64–256 kbit/s (ricevitore da scegliere); UHF 9.600 bit/s a 400,15–401 MHz se adottata (A5.5.2)</t>
        </is>
      </c>
      <c r="G70" s="47" t="inlineStr">
        <is>
          <t>V1: velocità fissa ~1 Mbit/s (margine 13,9 dB, ~0,5 GB/giorno); V2: 4,3 Mbit/s fissi senza ripiego</t>
        </is>
      </c>
      <c r="H70" s="47" t="inlineStr">
        <is>
          <t>Link budget a 10° (1.166 km, patch −0,8 dBic modello, stazione KSAT 3,7 m G/T 12,6 dB/K): C/N0 78,6 dB-Hz, 13 Mbit/s possibili con 3 dB di margine; il limite è la radio. A 4,3 Mbit/s margine 7,8 dB a 10°. Capacità ~2.030 MB/giorno per satellite (71 min/giorno, 30 s di aggancio per contatto, GMAT gen 2026). Salita: 64–256 kbit/s con 17–23 dB di margine. UHF 9.600 bit/s: margine 4,8 dB (G/T stazione stimata), ~4 MB/giorno</t>
        </is>
      </c>
      <c r="I70" s="47" t="inlineStr">
        <is>
          <t>Scelta delle bande (A5.5.2: soglia per la banda X ~2 GB/giorno per satellite), bilancia dei dati (A5.5.5), potenza (A5.6: ~15 Wh/giorno in trasmissione), massa (A5.7), licenza di frequenza</t>
        </is>
      </c>
      <c r="J70" s="47" t="inlineStr">
        <is>
          <t>DR-41, DR-40, DR-35, DR-36</t>
        </is>
      </c>
      <c r="K70" s="47" t="inlineStr">
        <is>
          <t>R-40</t>
        </is>
      </c>
      <c r="L70" s="47" t="inlineStr">
        <is>
          <t>Approvata</t>
        </is>
      </c>
      <c r="M70" s="47" t="n"/>
      <c r="N70" s="47" t="inlineStr">
        <is>
          <t>A5.5.4 – chat del 30/10/2026; datasheet ISIS TXS2, ISIS S-band patch, ISIS VHF/UHF; NTNU wiki (KSAT S-band)</t>
        </is>
      </c>
      <c r="O70" s="47" t="inlineStr">
        <is>
          <t>Riguarda solo TT&amp;C (parte di Giuliano). Da verificare: G/T reale delle antenne di Svalbard, Fairbanks e Fucino; larghezza di banda in licenza (~6,8 MHz a 5 Msym/s con roll-off 0,35). 435–438 MHz è banda amatoriale: non usabile</t>
        </is>
      </c>
    </row>
    <row r="71">
      <c r="A71" s="47" t="inlineStr">
        <is>
          <t>D-070</t>
        </is>
      </c>
      <c r="B71" s="48" t="n">
        <v>46325</v>
      </c>
      <c r="C71" s="47" t="inlineStr">
        <is>
          <t>A5</t>
        </is>
      </c>
      <c r="D71" s="47" t="inlineStr">
        <is>
          <t>Giuseppe</t>
        </is>
      </c>
      <c r="E71" s="47" t="inlineStr">
        <is>
          <t>AI / Dati</t>
        </is>
      </c>
      <c r="F71" s="47" t="inlineStr">
        <is>
          <t>Allarme diurno = vettore (~5–20 kB) + ritaglio di 1 × 1 km (pancromatico + 4 bande, senza perdita, ~0,67 MB). Zone più grandi con più ritagli affiancati. Se i ritagli di una scena superano la scena intera compressa (~31 MB), si scarica la scena intera</t>
        </is>
      </c>
      <c r="G71" s="47" t="inlineStr">
        <is>
          <t>Ritaglio 0,5 km (0,17 MB, contesto spesso insufficiente); ritaglio 2 km (2,7 MB, 10 allarmi = 27 MB, quasi come la scena intera)</t>
        </is>
      </c>
      <c r="H71" s="47" t="inlineStr">
        <is>
          <t>Basta per vedere la zona e i dintorni e resta leggero anche in emergenza (10 allarmi = 6,7 MB)</t>
        </is>
      </c>
      <c r="I71" s="47" t="inlineStr">
        <is>
          <t>Volume di scarico (A5.5, Giuliano)</t>
        </is>
      </c>
      <c r="J71" s="47" t="inlineStr">
        <is>
          <t>DR-42</t>
        </is>
      </c>
      <c r="K71" s="47" t="n"/>
      <c r="L71" s="47" t="inlineStr">
        <is>
          <t>Approvata</t>
        </is>
      </c>
      <c r="M71" s="47" t="n"/>
      <c r="N71" s="47" t="inlineStr">
        <is>
          <t>Chat del 30/10/2026 (A5.P1)</t>
        </is>
      </c>
      <c r="O71" s="47" t="inlineStr">
        <is>
          <t>Allarmi per scena: 0–2 di solito, fino a ~10 in emergenza (stima). Proposta: tocca il volume da scaricare | 30/10/2026 Giuliano: approvata. 10 allarmi = 6,9 MB, ~13 s a 4,3 Mbit/s (D-069).</t>
        </is>
      </c>
    </row>
    <row r="72">
      <c r="A72" s="47" t="inlineStr">
        <is>
          <t>D-071</t>
        </is>
      </c>
      <c r="B72" s="48" t="n">
        <v>46324</v>
      </c>
      <c r="C72" s="47" t="inlineStr">
        <is>
          <t>A5</t>
        </is>
      </c>
      <c r="D72" s="47" t="inlineStr">
        <is>
          <t>Giuseppe</t>
        </is>
      </c>
      <c r="E72" s="47" t="inlineStr">
        <is>
          <t>AI / Dati</t>
        </is>
      </c>
      <c r="F72" s="47" t="inlineStr">
        <is>
          <t>Compressione a bordo mista: senza perdita (~2:1) per ritagli d'allarme, scene notturne e immagini di calibrazione; quasi senza perdita (~4:1, errore massimo 1–2 livelli su 4096, sotto il rumore del sensore) per le scene diurne intere (125 → ~31 MB per 9,7 × 9,7 km). Rapporti TBC fino alla scelta della scheda (A5.P3)</t>
        </is>
      </c>
      <c r="G72" s="47" t="inlineStr">
        <is>
          <t>Tutto senza perdita (~2:1: scena diurna 63 MB, scarico doppio); tutto quasi senza perdita (piccolo errore anche su notte e calibrazione, dove il segnale è debole); con perdita ~8:1 (16 MB, artefatti sui dettagli, verifica dell'AI meno affidabile)</t>
        </is>
      </c>
      <c r="H72" s="47" t="inlineStr">
        <is>
          <t>Comprime dove pesa (scene diurne) e lascia intatti allarmi, notte e calibrazione</t>
        </is>
      </c>
      <c r="I72" s="47" t="inlineStr">
        <is>
          <t>Volume di scarico (A5.5, Giuliano); carico di calcolo della scheda (A5.P3)</t>
        </is>
      </c>
      <c r="J72" s="47" t="inlineStr">
        <is>
          <t>DR-43</t>
        </is>
      </c>
      <c r="K72" s="47" t="inlineStr">
        <is>
          <t>R-41</t>
        </is>
      </c>
      <c r="L72" s="47" t="inlineStr">
        <is>
          <t>Approvata</t>
        </is>
      </c>
      <c r="M72" s="47" t="n"/>
      <c r="N72" s="47" t="inlineStr">
        <is>
          <t>Chat del 29/10/2026 (A5.P1)</t>
        </is>
      </c>
      <c r="O72" s="47" t="inlineStr">
        <is>
          <t>Scena diurna 9,7 × 9,7 km a 12 bit: pan 6464 × 6467 px = 62,7 MB + RGB-NIR 4 × 3232 × 3233 = 62,7 MB. Rapporti tipici degli standard CCSDS, da verificare su immagini reali 30/10/2026: ID rinumerato (era D-068) per un conflitto di numerazione tra le due copie del registro.</t>
        </is>
      </c>
    </row>
    <row r="73">
      <c r="A73" s="47" t="inlineStr">
        <is>
          <t>D-072</t>
        </is>
      </c>
      <c r="B73" s="48" t="n">
        <v>46324</v>
      </c>
      <c r="C73" s="47" t="inlineStr">
        <is>
          <t>A5</t>
        </is>
      </c>
      <c r="D73" s="47" t="inlineStr">
        <is>
          <t>Giuseppe</t>
        </is>
      </c>
      <c r="E73" s="47" t="inlineStr">
        <is>
          <t>AI / Dati</t>
        </is>
      </c>
      <c r="F73" s="47" t="inlineStr">
        <is>
          <t>Scene diurne intere per la verifica dell'AI (dimostratore): 4 al giorno per satellite nei primi 3 mesi di operazioni (~124 MB/giorno compresse, D-071), poi 1 al giorno (~31 MB/giorno). Le scene notturne intere sono già coperte dall'archivio (D-067)</t>
        </is>
      </c>
      <c r="G73" s="47" t="inlineStr">
        <is>
          <t>1 ogni 2 giorni (~16 MB/giorno, verifica dell'AI lenta); 1 al giorno sempre (~31 MB/giorno); 4 al giorno sempre (~124 MB/giorno per tutta la missione)</t>
        </is>
      </c>
      <c r="H73" s="47" t="inlineStr">
        <is>
          <t>Molti esempi quando l'AI va verificata e aggiornata, volume leggero in routine; due casi chiari per il link budget</t>
        </is>
      </c>
      <c r="I73" s="47" t="inlineStr">
        <is>
          <t>Volume di scarico e scelta S / S+X (A5.5, Giuliano); pianificazione delle riprese diurne</t>
        </is>
      </c>
      <c r="J73" s="47" t="inlineStr">
        <is>
          <t>DR-44</t>
        </is>
      </c>
      <c r="K73" s="47" t="n"/>
      <c r="L73" s="47" t="inlineStr">
        <is>
          <t>Approvata</t>
        </is>
      </c>
      <c r="M73" s="47" t="n"/>
      <c r="N73" s="47" t="inlineStr">
        <is>
          <t>Chat del 29/10/2026 (A5.P1)</t>
        </is>
      </c>
      <c r="O73" s="47" t="inlineStr">
        <is>
          <t>Proposta: fissa un volume che Giuliano deve scaricare. 4 scene al giorno = circa tutte le occasioni di un passaggio diurno sull'Italia (TBC con Giuliano) 30/10/2026: ID rinumerato (era D-069) per un conflitto di numerazione tra le due copie del registro. | 30/10/2026 Giuliano: approvata. Inteso come "fino a 4" scene al giorno per satellite: stima di primo ordine (orbita semplice 30 giorni, Italia come poligono, raggio 310 km, bersagli a ≥ 450 km lungo traccia, D-045) 0,9 passaggi diurni sull'Italia al giorno per satellite, ~1.100 km utili lungo traccia, in media 2,7 scene/giorno, 4 nel 40% dei giorni, alcuni giorni 0. Il valore 4 resta nel budget come caso conservativo; bersagli vicini alla traccia (manovre più piccole) ne permettono di più, da vedere in A6.</t>
        </is>
      </c>
    </row>
    <row r="74">
      <c r="A74" s="47" t="inlineStr">
        <is>
          <t>D-073</t>
        </is>
      </c>
      <c r="B74" s="48" t="n">
        <v>46325</v>
      </c>
      <c r="C74" s="47" t="inlineStr">
        <is>
          <t>A5</t>
        </is>
      </c>
      <c r="D74" s="47" t="inlineStr">
        <is>
          <t>Giuliano</t>
        </is>
      </c>
      <c r="E74" s="47" t="inlineStr">
        <is>
          <t>TT&amp;C / Terra</t>
        </is>
      </c>
      <c r="F74" s="47" t="inlineStr">
        <is>
          <t>Priorità della coda di scarico (P2): classi 1) stato del satellite in tempo reale, 2) allarmi diurni e zone notturne candidate, 3) telemetria registrata, 4) immagini di validazione e commissioning, 5) archivio notturno; un dato in coda da oltre 24 h sale di una classe; l'ordine si può cambiare da terra</t>
        </is>
      </c>
      <c r="G74" s="47" t="inlineStr">
        <is>
          <t>P1: classi fisse senza invecchiamento (archivio fermo a lungo, R-37); P3: ordine deciso da terra a ogni contatto (lavoro operativo, coda ferma se il caricamento salta)</t>
        </is>
      </c>
      <c r="H74" s="47" t="inlineStr">
        <is>
          <t>Gli allarmi passano sempre per primi (0,26 MB = 0,5 s a 4,3 Mbit/s); l'invecchiamento garantisce lo scarico dell'archivio entro le 24 h di D-067. L'ordine conta solo quando la coda supera il contatto (~150 MB in 4,7 min)</t>
        </is>
      </c>
      <c r="I74" s="47" t="inlineStr">
        <is>
          <t>Software di bordo (gestione della memoria), scheda AI (etichette di classe sui prodotti), D-067, R-37</t>
        </is>
      </c>
      <c r="J74" s="47" t="inlineStr">
        <is>
          <t>DR-45, DR-35, DR-36</t>
        </is>
      </c>
      <c r="K74" s="47" t="inlineStr">
        <is>
          <t>R-37</t>
        </is>
      </c>
      <c r="L74" s="47" t="inlineStr">
        <is>
          <t>Approvata</t>
        </is>
      </c>
      <c r="M74" s="47" t="n"/>
      <c r="N74" s="47" t="inlineStr">
        <is>
          <t>A5.5.6 – chat del 30/10/2026; PULSE A5.5 (spinta_passaggi.py)</t>
        </is>
      </c>
      <c r="O74" s="47" t="inlineStr">
        <is>
          <t>Proposta: fissa l'ordine di scarico dei prodotti di Giuseppe (validazione, archivio) 30/10/2026: ID rinumerato (era D-070) per un conflitto di numerazione tra le due copie del registro. | 30/10/2026 Giuseppe: approvata.</t>
        </is>
      </c>
    </row>
    <row r="75">
      <c r="A75" s="47" t="inlineStr">
        <is>
          <t>D-074</t>
        </is>
      </c>
      <c r="B75" s="48" t="n">
        <v>46325</v>
      </c>
      <c r="C75" s="47" t="inlineStr">
        <is>
          <t>A5</t>
        </is>
      </c>
      <c r="D75" s="47" t="inlineStr">
        <is>
          <t>Giuliano</t>
        </is>
      </c>
      <c r="E75" s="47" t="inlineStr">
        <is>
          <t>Propulsione</t>
        </is>
      </c>
      <c r="F75" s="47" t="inlineStr">
        <is>
          <t>Spinta e passaggi sull'Italia (S3): spinta vietata da N min prima a 5 min dopo i soli passaggi con ripresa pianificata (coperchio chiuso in spinta, D-034); un comando di emergenza interrompe subito la spinta (motore spento, coperchio aperto). N dall'analisi termica del payload (TBC)</t>
        </is>
      </c>
      <c r="G75" s="47" t="inlineStr">
        <is>
          <t>S1: divieto prima di ogni passaggio sull'Italia (prudente ma inutilmente rigido); S2: divieto solo prima delle riprese pianificate, senza interruzione per emergenza</t>
        </is>
      </c>
      <c r="H75" s="47" t="inlineStr">
        <is>
          <t>Tempo abbondante: con divieto da 60 min prima (5 bersagli, 1,33 passaggi/giorno, GMAT gen 2026) restano 22,4 h/giorno, 21,7 h con 90 min; per tutta l'Italia (2–3 passaggi/giorno, stima) &gt; ~20 h, contro 4,2 h (Sole medio) e 7,8 h (Sole alto) di spinta. Con D-068 contatti e spinta convivono. Se l'emergenza arriva meno di N min prima del passaggio, la prima ripresa può essere degradata</t>
        </is>
      </c>
      <c r="I75" s="47" t="inlineStr">
        <is>
          <t>Piano operativo (R-14), termico del payload (N), potenza in eclissi (A5.6), software di bordo</t>
        </is>
      </c>
      <c r="J75" s="47" t="inlineStr">
        <is>
          <t>DR-46, DR-37</t>
        </is>
      </c>
      <c r="K75" s="47" t="inlineStr">
        <is>
          <t>R-14</t>
        </is>
      </c>
      <c r="L75" s="47" t="inlineStr">
        <is>
          <t>Approvata</t>
        </is>
      </c>
      <c r="M75" s="47" t="n"/>
      <c r="N75" s="47" t="inlineStr">
        <is>
          <t>A5.5.6 – chat del 30/10/2026; PULSE A5.5 (spinta_passaggi.py)</t>
        </is>
      </c>
      <c r="O75" s="47" t="inlineStr">
        <is>
          <t>Proposta: N dipende dall'analisi termica di Giuseppe; l'apertura rapida del coperchio tocca il suo payload. Vincolo vero da verificare in A5.6: spinta da 50 W in eclissi 30/10/2026: ID rinumerato (era D-071) per un conflitto di numerazione tra le due copie del registro. | 30/10/2026 Giuseppe: approvata; N TBC fino all'analisi termica del payload (A5.P7). | 30/10/2026 (D-099, Proposta): N = 30 minuti (TBC) dal termico del payload (A5.P7). | 30/10/2026 (D-099): N = 30 min (TBC, da misurare al commissioning)</t>
        </is>
      </c>
    </row>
    <row r="76">
      <c r="A76" s="47" t="inlineStr">
        <is>
          <t>D-075</t>
        </is>
      </c>
      <c r="B76" s="48" t="n">
        <v>46325</v>
      </c>
      <c r="C76" s="47" t="inlineStr">
        <is>
          <t>A5</t>
        </is>
      </c>
      <c r="D76" s="47" t="inlineStr">
        <is>
          <t>Giuliano</t>
        </is>
      </c>
      <c r="E76" s="47" t="inlineStr">
        <is>
          <t>TT&amp;C / Terra</t>
        </is>
      </c>
      <c r="F76" s="47" t="inlineStr">
        <is>
          <t>Comandi (F1): piano delle riprese per le 24 h successive caricato a ogni contatto utile da Svalbard o Fairbanks; Fucino come riserva e per i comandi nei passaggi senza ripresa; comandi autenticati e cifrati (CCSDS SDLS). Scarico delle zone notturne anche da Fucino (F3) da valutare in Fase B</t>
        </is>
      </c>
      <c r="G76" s="47" t="inlineStr">
        <is>
          <t>F2: comandi da Fucino nello stesso passaggio della ripresa (pianificazione in pochi secondi, geometria antenna–Fucino da verificare); F3 rimandata alla Fase B (allarmi notturni ~6 min prima, guadagno minimo)</t>
        </is>
      </c>
      <c r="H76" s="47" t="inlineStr">
        <is>
          <t>Catena di comando già verificata in A1 (90% entro 17–28 h, Fucino non cambia la latenza); 16,7 contatti/giorno per satellite. Il collo di bottiglia è il passaggio sul bersaglio, non il caricamento del comando</t>
        </is>
      </c>
      <c r="I76" s="47" t="inlineStr">
        <is>
          <t>Centro di controllo, software di bordo (piano a tempo), sicurezza dei comandi, D-016</t>
        </is>
      </c>
      <c r="J76" s="47" t="inlineStr">
        <is>
          <t>DR-47, MR-02</t>
        </is>
      </c>
      <c r="K76" s="47" t="inlineStr">
        <is>
          <t>R-08</t>
        </is>
      </c>
      <c r="L76" s="47" t="inlineStr">
        <is>
          <t>Approvata</t>
        </is>
      </c>
      <c r="M76" s="47" t="n"/>
      <c r="N76" s="47" t="inlineStr">
        <is>
          <t>A5.5.6 – chat del 30/10/2026; PULSE A5.5 (spinta_passaggi.py)</t>
        </is>
      </c>
      <c r="O76" s="47" t="inlineStr">
        <is>
          <t>Riguarda solo TT&amp;C e operazioni (parte di Giuliano) 30/10/2026: ID rinumerato (era D-072) per un conflitto di numerazione tra le due copie del registro. | 30/10/2026 (D-081, G2): F3 anticipata in Fase A solo per gli allarmi diurni (Fucino nello stesso passaggio, quando la finestra lo permette); per la notte resta Svalbard.</t>
        </is>
      </c>
    </row>
    <row r="77">
      <c r="A77" s="47" t="inlineStr">
        <is>
          <t>D-076</t>
        </is>
      </c>
      <c r="B77" s="48" t="n">
        <v>46325</v>
      </c>
      <c r="C77" s="47" t="inlineStr">
        <is>
          <t>A5</t>
        </is>
      </c>
      <c r="D77" s="47" t="inlineStr">
        <is>
          <t>Giuseppe</t>
        </is>
      </c>
      <c r="E77" s="47" t="inlineStr">
        <is>
          <t>Payload</t>
        </is>
      </c>
      <c r="F77" s="47" t="inlineStr">
        <is>
          <t>Telescopio TMA in asse a tre specchi (tipo Korsch: primario concavo con foro centrale, secondario al centro, specchio piatto di rinvio, terziario), apertura 12 cm, focale 0,70 m (A2 invariati). Ingombro stimato ~14 × 14 × 20 cm più paraluce (per confronto con Simera TriScape100/200), massa da stimare in A5.P4</t>
        </is>
      </c>
      <c r="G77" s="47" t="inlineStr">
        <is>
          <t>TMA fuori asse 12 cm (scalando l'imager EarthNext, 8U per 8,3 cm / f 500 mm, servirebbero ~12–14U su 16); TMA fuori asse ~8 cm (entra in 8U ma diffrazione ~2,4 m e metà luce: A2 e A3 da rifare)</t>
        </is>
      </c>
      <c r="H77" s="47" t="inlineStr">
        <is>
          <t>Unica soluzione che tiene l'apertura da 12 cm (quindi GSD di A2 e SNR di A3) dentro il 16U e lascia spazio sulla faccia a nadir</t>
        </is>
      </c>
      <c r="I77" s="47" t="inlineStr">
        <is>
          <t>Volume e layout (A5.7, Giuliano); campo per i sensori affiancati (D-027); SNR notturno (ombra del secondario ~9%, D-077)</t>
        </is>
      </c>
      <c r="J77" s="47" t="inlineStr">
        <is>
          <t>V-02</t>
        </is>
      </c>
      <c r="K77" s="47" t="inlineStr">
        <is>
          <t>R-01, R-39, R-42</t>
        </is>
      </c>
      <c r="L77" s="47" t="inlineStr">
        <is>
          <t>Superata</t>
        </is>
      </c>
      <c r="M77" s="47" t="inlineStr">
        <is>
          <t>D-088</t>
        </is>
      </c>
      <c r="N77" s="47" t="inlineStr">
        <is>
          <t>Chat del 30/10/2026 (A5.P2)</t>
        </is>
      </c>
      <c r="O77" s="47" t="inlineStr">
        <is>
          <t>Proposta: cambia la motivazione di D-027 ("campo normale per un TMA fuori asse") e il volume per il layout di Giuliano. Fase 0 diceva solo "TMA, 12 cm, 0,7 m": resta valida. Campo pieno 1,84° × 3,45° (diag. 3,9°) in asse da verificare con un progettista ottico (TBC) | 30/10/2026 Giuliano: approvata. Lato GNC: lunghezza ~30 cm con paraluce entro i 454 mm (L1, D-043); massa e inerzie da verificare in A5.7. | 30/10/2026 (A5.P4): Superata da D-088. Il Korsch in asse non regge il campo di 3,9° (R-42 avverato).</t>
        </is>
      </c>
    </row>
    <row r="78">
      <c r="A78" s="47" t="inlineStr">
        <is>
          <t>D-077</t>
        </is>
      </c>
      <c r="B78" s="48" t="n">
        <v>46325</v>
      </c>
      <c r="C78" s="47" t="inlineStr">
        <is>
          <t>A5</t>
        </is>
      </c>
      <c r="D78" s="47" t="inlineStr">
        <is>
          <t>Giuseppe</t>
        </is>
      </c>
      <c r="E78" s="47" t="inlineStr">
        <is>
          <t>Payload</t>
        </is>
      </c>
      <c r="F78" s="47" t="inlineStr">
        <is>
          <t>Ripresa notturna con il TMA in asse (D-076, ombra del secondario ~9,5%): città/quartieri 1×1 (4,8 m) con 12 scatti da 20 ms (240 ms, SNR 10,4); paesi 3×3 (14,4 m) con 10 scatti (200 ms, SNR 11,3) come modalità nominale; 2×2 (9,6 m, 18 scatti per SNR 10) non più nominale. Pixel 11 µm invariato</t>
        </is>
      </c>
      <c r="G78" s="47" t="inlineStr">
        <is>
          <t>Più scatti con 2×2 per i paesi (18 scatti = 360 ms, inseguimento con margine ~0,43 s &gt; DR-11); lasciare tutto com'era accettando SNR 9,3–9,5 (DR-09 a ≥ 9)</t>
        </is>
      </c>
      <c r="H78" s="47" t="inlineStr">
        <is>
          <t>Mantiene SNR ≥ 10 senza allungare l'inseguimento oltre DR-11 (max 240 ms + 20% = 0,29 s); 14,4 m bastano per le celle da 150 m della conferma blackout (D-064, ~10 pixel per cella). Il dettaglio via per via del 2×2 (motivo di D-031) non è usato dalla catena A4</t>
        </is>
      </c>
      <c r="I78" s="47" t="inlineStr">
        <is>
          <t>DR-09; durata FMC (diminuisce: nessun impatto su Giuliano); volume dati (scena paesi 0,7 MB invece di 1,6)</t>
        </is>
      </c>
      <c r="J78" s="47" t="inlineStr">
        <is>
          <t>DR-09, DR-11</t>
        </is>
      </c>
      <c r="K78" s="47" t="inlineStr">
        <is>
          <t>R-02</t>
        </is>
      </c>
      <c r="L78" s="47" t="inlineStr">
        <is>
          <t>Superata</t>
        </is>
      </c>
      <c r="M78" s="47" t="inlineStr">
        <is>
          <t>D-089</t>
        </is>
      </c>
      <c r="N78" s="47" t="inlineStr">
        <is>
          <t>Chat del 30/10/2026 (A5.P2)</t>
        </is>
      </c>
      <c r="O78" s="47" t="inlineStr">
        <is>
          <t>Sostituisce D-031. Calcolo in a5_calcoli/p2_ostruzione_snr.py (modello A3, trasmissione relativa 0,905 TBC fino al progetto ottico). Anche il diurno perde ~9,5% di luce: SNR TDI tipico ~73 → ~69, inverno scuro ~29 → ~28 (stima) | 30/10/2026 (A5.P4): Superata da D-089 (ombra 20% del telescopio RC: città 14 scatti).</t>
        </is>
      </c>
    </row>
    <row r="79">
      <c r="A79" s="47" t="inlineStr">
        <is>
          <t>D-078</t>
        </is>
      </c>
      <c r="B79" s="48" t="n">
        <v>46325</v>
      </c>
      <c r="C79" s="47" t="inlineStr">
        <is>
          <t>A5</t>
        </is>
      </c>
      <c r="D79" s="47" t="inlineStr">
        <is>
          <t>Giuseppe</t>
        </is>
      </c>
      <c r="E79" s="47" t="inlineStr">
        <is>
          <t>Struttura</t>
        </is>
      </c>
      <c r="F79" s="47" t="inlineStr">
        <is>
          <t>Posizione del telescopio sulla faccia a nadir (226 × 226 mm): ingombro ~140 × 140 mm (con struttura) spostato contro un lato; resta libera una striscia di ~66 × 206 mm sul lato opposto per l'antenna TT&amp;C a nadir (D-068) ed eventuali altri sensori</t>
        </is>
      </c>
      <c r="G79" s="47" t="inlineStr">
        <is>
          <t>Al centro (cornice utile ~33 mm, antenna a fatica); in un angolo (due strisce a L da ~66 mm, baricentro spostato ~4–5 mm in diagonale)</t>
        </is>
      </c>
      <c r="H79" s="47" t="inlineStr">
        <is>
          <t>Spazio comodo per l'antenna con spostamento del baricentro piccolo (~3–4 mm per 2–2,5 kg di telescopio su ~30 kg), compensabile nel layout (batterie o altre masse sul lato opposto)</t>
        </is>
      </c>
      <c r="I79" s="47" t="inlineStr">
        <is>
          <t>Layout e baricentro (A5.7, Giuliano: D-047, DR-14, DR-21); antenna a nadir (D-068)</t>
        </is>
      </c>
      <c r="J79" s="47" t="inlineStr">
        <is>
          <t>DR-14, DR-21</t>
        </is>
      </c>
      <c r="K79" s="47" t="inlineStr">
        <is>
          <t>R-39</t>
        </is>
      </c>
      <c r="L79" s="47" t="inlineStr">
        <is>
          <t>Superata</t>
        </is>
      </c>
      <c r="M79" s="47" t="inlineStr">
        <is>
          <t>D-118</t>
        </is>
      </c>
      <c r="N79" s="47" t="inlineStr">
        <is>
          <t>Chat del 30/10/2026 (A5.P2)</t>
        </is>
      </c>
      <c r="O79" s="47" t="inlineStr">
        <is>
          <t>Proposta: tocca layout e bilanciamento di Giuliano. Bordo strutturale ~10 mm per lato (TBC). Antenna lontana dal piano focale e dai cavi dei sensori (EMC da verificare in Fase B) | 30/10/2026 Giuliano: approvata. Con antenna TT&amp;C a nadir compatta (D-080, K1): le patch S commerciali trovate non entrano nei 66 mm (ISIS Ø 80 mm, CUBECOM 110 × 85 mm, AAC formato 1U). Spostamento del baricentro 3–4 mm sui 10 mm di D-047: da chiudere in A5.7 con la zavorra. | 31/10/2026 (D-118, Proposta): telescopio spostato anche contro la faccia +X (asse a X +43 mm) per fare posto alla REGULUS su −X | 31/10/2026: superata da D-118 (telescopio nell'angolo +X/−Y)</t>
        </is>
      </c>
    </row>
    <row r="80">
      <c r="A80" s="47" t="inlineStr">
        <is>
          <t>D-079</t>
        </is>
      </c>
      <c r="B80" s="48" t="n">
        <v>46325</v>
      </c>
      <c r="C80" s="47" t="inlineStr">
        <is>
          <t>A5</t>
        </is>
      </c>
      <c r="D80" s="47" t="inlineStr">
        <is>
          <t>Giuseppe</t>
        </is>
      </c>
      <c r="E80" s="47" t="inlineStr">
        <is>
          <t>Payload</t>
        </is>
      </c>
      <c r="F80" s="47" t="inlineStr">
        <is>
          <t>Paraluce di ~10 cm davanti all'apertura (~13 cm): il Sole non illumina direttamente gli specchi se sta a più di ~52° dall'asse ottico. Coperchio dell'apertura richiudibile (motorizzato): chiuso in safe, in spinta e fino al commissioning, aperto per le riprese e su comando di emergenza (D-034, D-074)</t>
        </is>
      </c>
      <c r="G80" s="47" t="inlineStr">
        <is>
          <t>Paraluce 5 cm (esclusione ~69°: d'inverno a 45° fuori nadir il Sole a ~65° entrerebbe); paraluce 15 cm (~41°, 5 cm di lunghezza in meno per il resto del satellite)</t>
        </is>
      </c>
      <c r="H80" s="47" t="inlineStr">
        <is>
          <t>Copre il caso peggiore in ripresa (inverno, zenit solare ~70°, 45° fuori nadir verso il Sole: Sole a ~65° dall'asse) con ~13° di margine; telescopio + paraluce ~30 cm su 45,4</t>
        </is>
      </c>
      <c r="I80" s="47" t="inlineStr">
        <is>
          <t>Valore di DR-37 (modi ADCS di Giuliano con coperchio aperto); lunghezza disponibile per il layout (A5.7); massa del coperchio (A5.P4)</t>
        </is>
      </c>
      <c r="J80" s="47" t="inlineStr">
        <is>
          <t>DR-37</t>
        </is>
      </c>
      <c r="K80" s="47" t="inlineStr">
        <is>
          <t>R-23, R-43</t>
        </is>
      </c>
      <c r="L80" s="47" t="inlineStr">
        <is>
          <t>Approvata</t>
        </is>
      </c>
      <c r="M80" s="47" t="n"/>
      <c r="N80" s="47" t="inlineStr">
        <is>
          <t>Chat del 30/10/2026 (A5.P2)</t>
        </is>
      </c>
      <c r="O80" s="47" t="inlineStr">
        <is>
          <t>Proposta: fissa il valore di DR-37, che vincola i modi d'assetto di Giuliano con il coperchio aperto. Esclusione calcolata come arctan(13 cm / 10 cm), stima di primo ordine; luce diffusa dal bordo della Terra da verificare in Fase B | 30/10/2026 Giuliano: approvata. Nessun conflitto con i modi GNC: coperchio chiuso in safe, spinta e detumbling; di notte Sole dietro la Terra; caso diurno peggiore ~65°; puntamento della stazione non usato (niente banda X). Vincolo per A5.6: con coperchio bloccato aperto (R-43) in safe il telescopio deve restare a ≥ 52° dal Sole: pannelli con normale perpendicolare all'asse ottico (≥ 90° − 15° = 75°). | 30/10/2026 (D-106): i pannelli non sono perpendicolari all'asse ottico ma con normale opposta alla direzione di vista (ali a zenit): in safe Sole a ~180° dall'asse, condizione ancora più sicura</t>
        </is>
      </c>
    </row>
    <row r="81">
      <c r="A81" s="47" t="inlineStr">
        <is>
          <t>D-080</t>
        </is>
      </c>
      <c r="B81" s="48" t="n">
        <v>46325</v>
      </c>
      <c r="C81" s="47" t="inlineStr">
        <is>
          <t>A5</t>
        </is>
      </c>
      <c r="D81" s="47" t="inlineStr">
        <is>
          <t>Giuliano</t>
        </is>
      </c>
      <c r="E81" s="47" t="inlineStr">
        <is>
          <t>TT&amp;C / Terra</t>
        </is>
      </c>
      <c r="F81" s="47" t="inlineStr">
        <is>
          <t>Antenna TT&amp;C a nadir (K1): patch S compatta su ceramica ad alta costante dielettrica, lato ≤ 60 mm, nella striscia libera di ~66 × 206 mm (D-078). Riserva K3: antenna sullo spigolo o su una faccia laterale inclinata verso nadir. Per massa e potenza resta il riferimento ISIS (&lt; 50 g, passiva)</t>
        </is>
      </c>
      <c r="G81" s="47" t="inlineStr">
        <is>
          <t>K2: telescopio spostato di altri ~14 mm per la patch ISIS da 80 mm (meno spazio verso i binari, baricentro spostato oltre i 3–4 mm di D-078 sui 10 mm di D-047); K3 tenuta come riserva (copertura a nadir ridotta, analisi di copertura da rifare)</t>
        </is>
      </c>
      <c r="H81" s="47" t="inlineStr">
        <is>
          <t>Lascia invariato il layout di Giuseppe; una patch piccola ha fascio più largo (utile per la copertura di D-068) e guadagno più basso (TBC), coperto dal margine di 7,8 dB del link budget a 10° (D-069)</t>
        </is>
      </c>
      <c r="I81" s="47" t="inlineStr">
        <is>
          <t>Scelta del prodotto (Fase B), link budget da rifare con il diagramma reale, layout della faccia a nadir (A5.7)</t>
        </is>
      </c>
      <c r="J81" s="47" t="inlineStr">
        <is>
          <t>DR-40, DR-41</t>
        </is>
      </c>
      <c r="K81" s="47" t="inlineStr">
        <is>
          <t>R-39</t>
        </is>
      </c>
      <c r="L81" s="47" t="inlineStr">
        <is>
          <t>Approvata</t>
        </is>
      </c>
      <c r="M81" s="47" t="n"/>
      <c r="N81" s="47" t="inlineStr">
        <is>
          <t>Chat del 30/10/2026; datasheet ISIS S-band patch, AAC PULSAR-SANT, CUBECOM SANT</t>
        </is>
      </c>
      <c r="O81" s="47" t="inlineStr">
        <is>
          <t>Riguarda solo TT&amp;C: non cambia numeri né layout di Giuseppe. Prodotto commerciale ≤ 60 mm in banda 2,2–2,29 GHz da cercare in Fase B</t>
        </is>
      </c>
    </row>
    <row r="82">
      <c r="A82" s="47" t="inlineStr">
        <is>
          <t>D-081</t>
        </is>
      </c>
      <c r="B82" s="48" t="n">
        <v>46325</v>
      </c>
      <c r="C82" s="47" t="inlineStr">
        <is>
          <t>A5</t>
        </is>
      </c>
      <c r="D82" s="47" t="inlineStr">
        <is>
          <t>Giuseppe</t>
        </is>
      </c>
      <c r="E82" s="47" t="inlineStr">
        <is>
          <t>AI / Dati</t>
        </is>
      </c>
      <c r="F82" s="47" t="inlineStr">
        <is>
          <t>Architettura della scheda di bordo (A+): la somma dei passaggi (TDI digitale diurno, shift-and-add notturno) si fa in tempo reale su FPGA mentre il sensore riprende (ingresso ~7,5 Gbit/s di giorno, ~2,5 Gbit/s di notte; scena diurna sommata ~125 MB); l'AI lavora dopo la somma, tra un bersaglio e l'altro (~5–15 s per scena con un chip da ~1–2 TOPS utili, stima). Gli allarmi urgenti (vettori + ritagli: diurni ~0,7 MB, notturni ~0,26 MB) si scaricano a Fucino nello stesso passaggio sull'Italia; scene intere e archivio restano a Svalbard/Fairbanks secondo la coda di D-073</t>
        </is>
      </c>
      <c r="G82" s="47" t="inlineStr">
        <is>
          <t>A: AI dopo, tutto scaricato a Svalbard/Fairbanks (allarme diurno a terra ~1 h 15 min dopo la ripresa, stima); B: AI potente in tempo reale (chip tipo GPU 15–25 W, guadagna solo secondi); C: dati grezzi in memoria e poi elaborazione (~1,2 GB per scena, scrittura a ~7,5 Gbit/s, difficile su CubeSat)</t>
        </is>
      </c>
      <c r="H82" s="47" t="inlineStr">
        <is>
          <t>Il tempo dell'allarme si perde aspettando la stazione, non nella scheda. Fucino vede il satellite per ~5–6 min durante il passaggio sull'Italia; dopo l'ultima ripresa (Palermo) restano ~2 min: l'allarme diurno arriva a terra ~2 min dopo la ripresa invece di ~1 h 15 min; di notte si risparmiano i 5–8 min di attesa di Svalbard</t>
        </is>
      </c>
      <c r="I82" s="47" t="inlineStr">
        <is>
          <t>Ruolo di Fucino (D-016: da riserva e comandi a anche ricezione allarmi; Giuliano), ricezione in banda S a Fucino (4,3 Mbit/s, D-069, TBC), coda di scarico (D-073, classe 2 anche a Fucino), DR-13, potenza della scheda (A5.P6), scelta del chip (A5.P3); antenna a nadir compatta (D-080 di Giuliano): verificare che il collegamento a Fucino regga 4,3 Mbit/s</t>
        </is>
      </c>
      <c r="J82" s="47" t="inlineStr">
        <is>
          <t>DR-13, DR-48</t>
        </is>
      </c>
      <c r="K82" s="47" t="inlineStr">
        <is>
          <t>R-44</t>
        </is>
      </c>
      <c r="L82" s="47" t="inlineStr">
        <is>
          <t>Approvata</t>
        </is>
      </c>
      <c r="M82" s="47" t="n"/>
      <c r="N82" s="47" t="inlineStr">
        <is>
          <t>Chat del 30/10/2026 (A5.P3); a5_calcoli/p3_scheda.py</t>
        </is>
      </c>
      <c r="O82" s="47" t="inlineStr">
        <is>
          <t>Proposta: cambia il ruolo di Fucino (D-016) e i contatti pianificati da Giuliano. Attesa fino a Svalbard dopo un passaggio diurno ~75 min stimata a mano (~300° di orbita), da confermare con GMAT; visibilità di Fucino a 5° di elevazione ~±1.440 km (stima di primo ordine) | 30/10/2026 Giuliano: approvata con modifica (G2): lo scarico a Fucino nello stesso passaggio vale solo per gli allarmi diurni e quando la finestra lo permette; gli allarmi notturni vanno a Svalbard (5–8 min dopo la ripresa). GMAT (5 bersagli, 4 satelliti, gen 2026): Fucino in vista dopo l'ultima ripresa di giorno 69–198 s a 30° (mediana 136) e 50–146 s a 45° (mediana 106), cioè ~20–36 MB in mediana dopo 60 s di AI e 10 s di aggancio; di notte 48–131 s a 30° (mediana 65) e 27–67 s a 45° (mediana 45): nessuno spazio utile (passaggio sud→nord, ultimo bersaglio lontano da Fucino). Se la finestra salta gli allarmi restano in classe 2 della coda (D-073) e partono a Svalbard (~77 min di giorno). Picco di potenza radio S (15 W) + scheda AI da vedere in A5.6</t>
        </is>
      </c>
    </row>
    <row r="83">
      <c r="A83" s="47" t="inlineStr">
        <is>
          <t>D-082</t>
        </is>
      </c>
      <c r="B83" s="48" t="n">
        <v>46325</v>
      </c>
      <c r="C83" s="47" t="inlineStr">
        <is>
          <t>A5</t>
        </is>
      </c>
      <c r="D83" s="47" t="inlineStr">
        <is>
          <t>Giuliano</t>
        </is>
      </c>
      <c r="E83" s="47" t="inlineStr">
        <is>
          <t>TT&amp;C / Terra</t>
        </is>
      </c>
      <c r="F83" s="47" t="inlineStr">
        <is>
          <t>Bande (B2): banda S per tutto (discesa 4,3 Mbit/s, D-069; salita ≥ 128 kbit/s con ricevitore o ricetrasmettitore S da scegliere in A5.5.7) + UHF di riserva a 400,15–401 MHz (9.600 bit/s, comandi e telemetria in safe e in caso di guasto della catena S). Nessuna banda X</t>
        </is>
      </c>
      <c r="G83" s="47" t="inlineStr">
        <is>
          <t>B1: solo banda S (un guasto della radio fa perdere il satellite); B3: due catene S ridondanti (doppia massa e potenza, stesso guasto comune su banda e antenna); B4: S + X + UHF (volume &lt; 10% della banda S, massa, potenza e licenza X inutili)</t>
        </is>
      </c>
      <c r="H83" s="47" t="inlineStr">
        <is>
          <t>Volume per satellite (Giuseppe): routine ~46 MB/giorno (2,3% della capacità S di ~2.030 MB/giorno), primi 3 mesi ~144 MB (7,1%), picco ~194 MB (9,6%), senza compressione ~610 MB (30%); calibrazione al commissioning 1,7 GB in &lt; 1 giorno di capacità libera; giorno peggiore ~1.970 MB. Salita: 300–750 MB/anno, pacchetto max ~50 MB = 52 min (~12 contatti, &lt; 1 giorno) a 128 kbit/s. UHF: seconda via indipendente, +75 g, 4 W solo in trasmissione (classe ISIS), margine 4,8 dB a 9.600 bit/s</t>
        </is>
      </c>
      <c r="I83" s="47" t="inlineStr">
        <is>
          <t>Massa, potenza e volume TT&amp;C (A5.5.7, A5.6, A5.7), licenze S e UHF, rete di terra (UHF nelle stazioni, TBC), DR-28 (inseguimento della stazione non più necessario)</t>
        </is>
      </c>
      <c r="J83" s="47" t="inlineStr">
        <is>
          <t>DR-49, DR-41, DR-28, DR-47</t>
        </is>
      </c>
      <c r="K83" s="47" t="inlineStr">
        <is>
          <t>R-40, R-45</t>
        </is>
      </c>
      <c r="L83" s="47" t="inlineStr">
        <is>
          <t>Approvata</t>
        </is>
      </c>
      <c r="M83" s="47" t="n"/>
      <c r="N83" s="47" t="inlineStr">
        <is>
          <t>A5.5 – chat del 30/10/2026; numeri payload di Giuseppe (A5.P1); PULSE A5.5 (link_budget.py, scene_diurne.py)</t>
        </is>
      </c>
      <c r="O83" s="47" t="inlineStr">
        <is>
          <t>Riguarda solo TT&amp;C: chiude A5.5.1 e A5.5.2 sui numeri di Giuseppe (D-070, D-071, D-072). 435–438 MHz è banda amatoriale: non usabile | 30/10/2026 (A5.5.7): la radio di riserva di riferimento (classe ISIS) riceve in VHF a 148–150,05 MHz (operazioni spaziali, salita) e trasmette in UHF a 400,15–402 MHz: è una coppia VHF/UHF. Antenna dispiegabile classe ISIS AntS (89 g, 98 × 98 mm) con elementi VHF e UHF. Catena S: D-084. | 30/10/2026 (A5.5.7): la radio di riserva di riferimento (classe ISIS) riceve in VHF 148–150,05 MHz (salita, operazioni spaziali) e trasmette in UHF 400,15–402 MHz: coppia VHF/UHF. Antenna dispiegabile ISIS AntS (89 g) con elementi VHF e UHF.</t>
        </is>
      </c>
    </row>
    <row r="84">
      <c r="A84" s="47" t="inlineStr">
        <is>
          <t>D-083</t>
        </is>
      </c>
      <c r="B84" s="48" t="n">
        <v>46325</v>
      </c>
      <c r="C84" s="47" t="inlineStr">
        <is>
          <t>A5</t>
        </is>
      </c>
      <c r="D84" s="47" t="inlineStr">
        <is>
          <t>Giuliano</t>
        </is>
      </c>
      <c r="E84" s="47" t="inlineStr">
        <is>
          <t>TT&amp;C / Terra</t>
        </is>
      </c>
      <c r="F84" s="47" t="inlineStr">
        <is>
          <t>Scarico dell'archivio notturno (opzione a): le scene d'archivio si scaricano nello stesso contatto con Svalbard dopo la ripresa notturna, subito dopo le zone candidate; la coda con invecchiamento (D-073) resta come riserva. Scene d'archivio per notte limitate dalla geometria del passaggio, non dallo scarico: ~2–4 per satellite (media ~2,7, stima)</t>
        </is>
      </c>
      <c r="G84" s="47" t="inlineStr">
        <is>
          <t>b: archivio in coda entro 24 h (D-067; archivio a terra più tardi, memoria occupata più a lungo)</t>
        </is>
      </c>
      <c r="H84" s="47" t="inlineStr">
        <is>
          <t>Contatto con Svalbard dopo la ripresa notturna 213–263 s = 98–125 MB a 4,3 Mbit/s (30 s di aggancio); prodotti notturni nel caso peggiore ~37 MB (zone candidate 25 MB + 4 scene × 3,1 MB + telemetria): posto per 2,6 volte il caso peggiore. Copertura d'archivio di tutta l'Italia (~3.100 scene) in ~290 notti utili con 4 satelliti (~11 scene/notte); città e zone a rischio molto prima</t>
        </is>
      </c>
      <c r="I84" s="47" t="inlineStr">
        <is>
          <t>Archivio a terra (R-37), memoria di bordo, pianificazione notturna (A6)</t>
        </is>
      </c>
      <c r="J84" s="47" t="inlineStr">
        <is>
          <t>DR-36, DR-35, DR-45</t>
        </is>
      </c>
      <c r="K84" s="47" t="inlineStr">
        <is>
          <t>R-37</t>
        </is>
      </c>
      <c r="L84" s="47" t="inlineStr">
        <is>
          <t>Approvata</t>
        </is>
      </c>
      <c r="M84" s="47" t="n"/>
      <c r="N84" s="47" t="inlineStr">
        <is>
          <t>A5.5 – chat del 30/10/2026; numeri payload di Giuseppe (A5.P1); PULSE A5.5 (link_budget.py, scene_diurne.py)</t>
        </is>
      </c>
      <c r="O84" s="47" t="inlineStr">
        <is>
          <t>Riguarda solo lo scarico (Giuliano). Sostituisce D-067. Frazione di notti utili (nuvole, luna) da stimare in A6</t>
        </is>
      </c>
    </row>
    <row r="85">
      <c r="A85" s="47" t="inlineStr">
        <is>
          <t>D-084</t>
        </is>
      </c>
      <c r="B85" s="48" t="n">
        <v>46325</v>
      </c>
      <c r="C85" s="47" t="inlineStr">
        <is>
          <t>A5</t>
        </is>
      </c>
      <c r="D85" s="47" t="inlineStr">
        <is>
          <t>Giuliano</t>
        </is>
      </c>
      <c r="E85" s="47" t="inlineStr">
        <is>
          <t>TT&amp;C / Terra</t>
        </is>
      </c>
      <c r="F85" s="47" t="inlineStr">
        <is>
          <t>Catena S (R2): ricetrasmettitore software unico, classe IQ spacecom XLink-S (200 g, &lt; 15 W con TX e RX accesi, &lt; 4 W solo RX; salita 56–896 kbit/s, discesa fino a 200 Mbit/s, usata a 4,3 Mbit/s come D-069). Ricevitore S acceso solo nelle finestre di contatto previste (~2,5 h/giorno, ~10 Wh/giorno); la radio VHF/UHF (classe ISIS, 0,48 W) ascolta sempre per le emergenze fuori dai contatti. Ripiego a catalogo: R1 (ISIS TXS2 + ricevitore ISIS)</t>
        </is>
      </c>
      <c r="G85" s="47" t="inlineStr">
        <is>
          <t>R1: ISIS TXS2 + ricevitore ISIS (217 g, salita solo 9,6 kbit/s: pacchetto da 50 MB in 11,6 h, ~165 contatti; 750 MB/anno = 40% del tempo di contatto; non rispetta D-082); R3: TXS2 + secondo ricetrasmettitore S usato in ricezione (~380 g, due box, 125 kbit/s)</t>
        </is>
      </c>
      <c r="H85" s="47" t="inlineStr">
        <is>
          <t>Unica opzione che rispetta la salita ≥ 128 kbit/s di D-082 con un solo box: pesi della rete (~50 MB) in ~8 min a 896 kbit/s. Il costo di 4 W in ricezione si evita accendendo il ricevitore S solo nei contatti, che sono prevedibili; l'ascolto continuo lo fa la radio VHF/UHF (~11,5 Wh/giorno)</t>
        </is>
      </c>
      <c r="I85" s="47" t="inlineStr">
        <is>
          <t>Massa e potenza TT&amp;C (budget A5.5.7, A5.6), software di bordo (accensione del ricevitore sui contatti previsti), FDIR</t>
        </is>
      </c>
      <c r="J85" s="47" t="inlineStr">
        <is>
          <t>DR-50, DR-49, DR-41</t>
        </is>
      </c>
      <c r="K85" s="47" t="inlineStr">
        <is>
          <t>R-46</t>
        </is>
      </c>
      <c r="L85" s="47" t="inlineStr">
        <is>
          <t>Approvata</t>
        </is>
      </c>
      <c r="M85" s="47" t="n"/>
      <c r="N85" s="47" t="inlineStr">
        <is>
          <t>A5.5.7 – chat del 30/10/2026; IQ spacecom XLink-S (satsearch), ISIS S-band transceiver, EnduroSat S-band transceiver</t>
        </is>
      </c>
      <c r="O85" s="47" t="inlineStr">
        <is>
          <t>Riguarda solo TT&amp;C. Il link budget di D-069 (TXS2, 31 dBm) resta valido: XLink-S fino a +33 dBm combinati. Eredità di volo non dichiarata sulla pagina del prodotto (TRL 9 dichiarato): R-46</t>
        </is>
      </c>
    </row>
    <row r="86">
      <c r="A86" s="47" t="inlineStr">
        <is>
          <t>D-085</t>
        </is>
      </c>
      <c r="B86" s="48" t="n">
        <v>46325</v>
      </c>
      <c r="C86" s="47" t="inlineStr">
        <is>
          <t>A5</t>
        </is>
      </c>
      <c r="D86" s="47" t="inlineStr">
        <is>
          <t>Giuseppe</t>
        </is>
      </c>
      <c r="E86" s="47" t="inlineStr">
        <is>
          <t>AI / Dati</t>
        </is>
      </c>
      <c r="F86" s="47" t="inlineStr">
        <is>
          <t>Scheda di bordo con due chip (opzione 2): FPGA per la somma in tempo reale (D-081) + chip AI dedicato a basso consumo (classe VPU, famiglia Intel Movidius come sui CubeSat ESA Φ-sat-1/Φ-sat-2; ~1–2 W quando lavora, ~5–15 s per scena, TBC). Se il chip AI si guasta, l'FPGA continua a sommare e le immagini si scaricano senza AI (modo degradato)</t>
        </is>
      </c>
      <c r="G86" s="47" t="inlineStr">
        <is>
          <t>1: un solo chip FPGA + processore (tipo Zynq UltraScale+): più semplice e leggero, ma rete AI più laboriosa da portare sull'FPGA e un guasto ferma sia somma sia AI; 3: FPGA + GPU (tipo Jetson Orin): ~1 s per scena ma +10–25 W e più sensibile alle radiazioni</t>
        </is>
      </c>
      <c r="H86" s="47" t="inlineStr">
        <is>
          <t>L'AI è il cuore della missione: chip dedicato, rete più facile da aggiornare da terra, modo degradato se l'AI si guasta, riferimento ESA Φ-sat. Prezzo piccolo (una schedina ~100–200 g, ~1–2 W solo durante l'elaborazione, un collegamento in più tra i chip). Tutte le opzioni stanno nei ~60 s di DR-48</t>
        </is>
      </c>
      <c r="I86" s="47" t="inlineStr">
        <is>
          <t>Massa (A5.P4), potenza della scheda (A5.P6, poi A5.6 di Giuliano), interfaccia FPGA–chip AI (Fase B), formato dei pesi della rete caricati da terra</t>
        </is>
      </c>
      <c r="J86" s="47" t="inlineStr">
        <is>
          <t>DR-13, DR-48, DR-51</t>
        </is>
      </c>
      <c r="K86" s="47" t="inlineStr">
        <is>
          <t>R-47, R-48</t>
        </is>
      </c>
      <c r="L86" s="47" t="inlineStr">
        <is>
          <t>Approvata</t>
        </is>
      </c>
      <c r="M86" s="47" t="n"/>
      <c r="N86" s="47" t="inlineStr">
        <is>
          <t>Chat del 30/10/2026 (A5.P3)</t>
        </is>
      </c>
      <c r="O86" s="47" t="inlineStr">
        <is>
          <t>Consumi e tempi sono valori tipici di primo ordine (rete di segmentazione ~50–150 GOP per Mpx, scena 83,6 Mpx), da confermare con le schede vere</t>
        </is>
      </c>
    </row>
    <row r="87" s="26">
      <c r="A87" s="47" t="inlineStr">
        <is>
          <t>D-086</t>
        </is>
      </c>
      <c r="B87" s="48" t="n">
        <v>46325</v>
      </c>
      <c r="C87" s="47" t="inlineStr">
        <is>
          <t>A5</t>
        </is>
      </c>
      <c r="D87" s="47" t="inlineStr">
        <is>
          <t>Giuseppe</t>
        </is>
      </c>
      <c r="E87" s="47" t="inlineStr">
        <is>
          <t>AI / Dati</t>
        </is>
      </c>
      <c r="F87" s="47" t="inlineStr">
        <is>
          <t>Memoria della scheda: memoria veloce (RAM) ≥ ~2 GB (TBC) per 4 scene sommate e lavoro dell'AI; memoria di massa (flash) 32 GB; contenuti fissi critici (mappe VIIRS e albedo, OSM, DEM, pesi della rete) in due copie in zone separate, con gestione dei blocchi rovinati</t>
        </is>
      </c>
      <c r="G87" s="47" t="inlineStr">
        <is>
          <t>16 GB (basta, ~60 giorni di emergenza senza scarico, ma poco margine per usura e scene grezze); 64 GB (~300 giorni, ~48 scene grezze: spazio che quasi non useremmo)</t>
        </is>
      </c>
      <c r="H87" s="47" t="inlineStr">
        <is>
          <t>Bisogno ~5 GB (~10 GB con margine ×2, A5.P1). 32 GB ≈ 3 volte: ~900 scene diurne compresse in coda, ~140 giorni del caso di emergenza senza scaricare, ~22 scene grezze (1,24 GB l'una) da salvare per riaddestrare l'AI; margine per l'usura e i danni da radiazione della flash. Massa e potenza praticamente uguali tra le tre taglie</t>
        </is>
      </c>
      <c r="I87" s="47" t="inlineStr">
        <is>
          <t>Massa e potenza della scheda (trascurabili, A5.P4/A5.P6); software di bordo (gestione memoria e copie); nessun impatto sullo scarico (D-083)</t>
        </is>
      </c>
      <c r="J87" s="47" t="inlineStr">
        <is>
          <t>DR-52</t>
        </is>
      </c>
      <c r="K87" s="47" t="inlineStr">
        <is>
          <t>R-48</t>
        </is>
      </c>
      <c r="L87" s="47" t="inlineStr">
        <is>
          <t>Approvata</t>
        </is>
      </c>
      <c r="M87" s="47" t="n"/>
      <c r="N87" s="47" t="inlineStr">
        <is>
          <t>Chat del 30/10/2026 (A5.P3); a5_calcoli/p3_scheda.py</t>
        </is>
      </c>
      <c r="O87" s="47" t="inlineStr">
        <is>
          <t>Conti con contenuti fissi 2,3 GB e calibrazione 1,7 GB (caso alto di A5.P1), scena compressa 31 MB, giorno di emergenza 194 MB</t>
        </is>
      </c>
    </row>
    <row r="88" s="26">
      <c r="A88" s="47" t="inlineStr">
        <is>
          <t>D-087</t>
        </is>
      </c>
      <c r="B88" s="48" t="n">
        <v>46325</v>
      </c>
      <c r="C88" s="47" t="inlineStr">
        <is>
          <t>A5</t>
        </is>
      </c>
      <c r="D88" s="47" t="inlineStr">
        <is>
          <t>Giuliano</t>
        </is>
      </c>
      <c r="E88" s="47" t="inlineStr">
        <is>
          <t>Potenza</t>
        </is>
      </c>
      <c r="F88" s="47" t="inlineStr">
        <is>
          <t>Responsabile dell'EPS di piattaforma (A3, chiude D-038 per la sola voce EPS): pannelli solari, batterie e distribuzione (PCDU) a Giuliano. Restano a Giuseppe i consumi del payload e della scheda (P-11…P-16) e il termico del payload (P-23). Il bilancio di potenza complessivo resta in comune (D-028)</t>
        </is>
      </c>
      <c r="G88" s="47" t="inlineStr">
        <is>
          <t>A1: EPS e termico completi a Giuseppe (per affinità con la Guida); A2: EPS in comune</t>
        </is>
      </c>
      <c r="H88" s="47" t="inlineStr">
        <is>
          <t>Le scelte che dimensionano l'EPS (spinta in eclissi, configurazione e orientamento dei pannelli, roll bias, safe con pannelli perpendicolari all'asse ottico, effetto dei pannelli sul drag e sul ΔV) dipendono da orbita, assetto e propulsione, cioè dal lavoro di Giuliano; Giuseppe è impegnato sui sotto-passi payload di A5</t>
        </is>
      </c>
      <c r="I88" s="47" t="inlineStr">
        <is>
          <t>D-028 (divisione del lavoro), D-038, file dei budget (responsabile di P-18, P-19, P-20), sotto-passi A5.6</t>
        </is>
      </c>
      <c r="J88" s="47" t="n"/>
      <c r="K88" s="47" t="inlineStr">
        <is>
          <t>R-07</t>
        </is>
      </c>
      <c r="L88" s="47" t="inlineStr">
        <is>
          <t>Approvata</t>
        </is>
      </c>
      <c r="M88" s="47" t="n"/>
      <c r="N88" s="47" t="inlineStr">
        <is>
          <t>Chat del 30/10/2026 (A5.6.1)</t>
        </is>
      </c>
      <c r="O88" s="47" t="inlineStr">
        <is>
          <t>Proposta: cambia l'assegnazione di D-028 per Giuseppe (EPS non più suo). Restano aperti in D-038: struttura e meccanismi, computer di bordo, cablaggi, termico di piattaforma | 30/10/2026 Giuseppe: approvata.</t>
        </is>
      </c>
    </row>
    <row r="89" s="26">
      <c r="A89" s="47" t="inlineStr">
        <is>
          <t>D-088</t>
        </is>
      </c>
      <c r="B89" s="48" t="n">
        <v>46325</v>
      </c>
      <c r="C89" s="47" t="inlineStr">
        <is>
          <t>A5</t>
        </is>
      </c>
      <c r="D89" s="47" t="inlineStr">
        <is>
          <t>Giuseppe</t>
        </is>
      </c>
      <c r="E89" s="47" t="inlineStr">
        <is>
          <t>Payload</t>
        </is>
      </c>
      <c r="F89" s="47" t="inlineStr">
        <is>
          <t>Telescopio Ritchey-Chrétien (2 specchi iperbolici: primario 12 cm con foro centrale, secondario ~54 mm) + correttore di campo a 3 lenti in silice fusa davanti ai sensori; focale 0,70 m, F/5,8 (A2 invariati). Versione "nitida": focale del primario 200 mm, immagine 70 mm dietro il primario. Ottica ~25 cm, ~40 cm con sensori e paraluce di 10 cm (D-079); ingombro ~14 × 14 × 40 cm. Campo pieno 3,9° con i due sensori affiancati (D-027) verificato con tracciamento dei raggi</t>
        </is>
      </c>
      <c r="G89" s="47" t="inlineStr">
        <is>
          <t>Korsch in asse (D-076): con 3,9° il fascio verso il terziario e quello di ritorno si sovrappongono sullo specchio di rinvio (anche spostando il campo di lato le immagini peggiorano di 5–50 volte); RC versione corta (primario 180 mm: −3–4 cm, ma errore d'onda di riferimento 31 nm invece di 18, deformazione 0,64% invece di 0,34%, decentramento di 50 µm → 44 nm invece di 26); TMA fuori asse 12 cm (~2,7 volte il volume a f 700 mm, non entra); campo ridotto (rinuncia ai sensori affiancati)</t>
        </is>
      </c>
      <c r="H89" s="47" t="inlineStr">
        <is>
          <t>Unico schema calcolato che regge tutto il campo dentro il 16U: errore d'onda medio 22 nm, massimo 53 nm agli angoli (Strehl 0,94 / 0,69 a 550 nm, obiettivo λ/14 = 39 nm); MTF ottica a Nyquist pan 0,26 centro / 0,24 bordo / 0,21 angolo, di sistema (× rivelatore 0,64) 0,17 / 0,15 / 0,13; notte 0,59–0,53; deformazione 0,34% (24 px all'angolo, si calibra). Tollerante al montaggio (decentramento del secondario di 50 µm → 26 nm). Ombra centrale 20% (secondario 54 mm, foro 49 mm) invece di 9,5%. Schema a 2 specchi molto usato in volo</t>
        </is>
      </c>
      <c r="I89" s="47" t="inlineStr">
        <is>
          <t>Volume e layout (A5.7, Giuliano: V-02 da ~6 L a ~7,8 L, lunghezza da ~30 a ~40 cm su 45,4; resta ~5 cm in fondo); massa (~1,5 kg, ~1,8 kg con paraluce e coperchio, A5.P4) e baricentro (D-078, DR-14); SNR notturno (D-089); MTF di sistema (DR-53, A2 diceva 0,28 senza ombra); fuoco (DR-03)</t>
        </is>
      </c>
      <c r="J89" s="47" t="inlineStr">
        <is>
          <t>DR-03, DR-53, DR-09, DR-11, V-02</t>
        </is>
      </c>
      <c r="K89" s="47" t="inlineStr">
        <is>
          <t>R-42, R-49, R-50</t>
        </is>
      </c>
      <c r="L89" s="47" t="inlineStr">
        <is>
          <t>Approvata</t>
        </is>
      </c>
      <c r="M89" s="47" t="n"/>
      <c r="N89" s="47" t="inlineStr">
        <is>
          <t>Chat del 30/10/2026 (A5.P4); documento "PULSE A5.P4 – Scelta del telescopio"</t>
        </is>
      </c>
      <c r="O89" s="47" t="inlineStr">
        <is>
          <t>Proposta: sostituisce D-076 e cambia lunghezza e volume del telescopio per il layout di Giuliano. Calcoli in a5_calcoli/p4_ottica/ (rc.py, progetto_rc.py, geometria_rc.py, analisi_rc.py, rc_200_70_3.json); disegno telescopio_rc_sezione.png. Progetto di Fase A con tracciatore proprio: da rifare con programma professionale in Fase B (lenti asferiche per gli angoli) | 30/10/2026 (A5.P4): massa calcolata pezzo per pezzo (a5_calcoli/p4_massa_baricentro.py): telescopio con piastra dei sensori 1,60 kg, paraluce + coperchio 0,30 kg (budget M-11, M-14). | 30/10/2026 Giuliano: approvata (B), con punti da verificare nel layout (A5.7): star tracker parallelo al telescopio e patch a zenit di fianco al telescopio, non nei ~5 cm in fondo; baricentro X/Y con il telescopio spostato su un lato (D-078) entro DR-14 e D-047; inerzie entro l'inviluppo di D-043 con telescopio 1,6 kg + paraluce e coperchio 0,3 kg. DR-11 invariato (0,34 s ≤ 0,36 s)</t>
        </is>
      </c>
    </row>
    <row r="90" s="26">
      <c r="A90" s="47" t="inlineStr">
        <is>
          <t>D-089</t>
        </is>
      </c>
      <c r="B90" s="48" t="n">
        <v>46325</v>
      </c>
      <c r="C90" s="47" t="inlineStr">
        <is>
          <t>A5</t>
        </is>
      </c>
      <c r="D90" s="47" t="inlineStr">
        <is>
          <t>Giuseppe</t>
        </is>
      </c>
      <c r="E90" s="47" t="inlineStr">
        <is>
          <t>Payload</t>
        </is>
      </c>
      <c r="F90" s="47" t="inlineStr">
        <is>
          <t>Ripresa notturna con il telescopio RC (D-088, trasmissione relativa ~0,79 con ombra 20% + bracci ~1%): città/quartieri 1×1 (4,8 m) con 14 scatti da 20 ms (280 ms, SNR 10,3); paesi 3×3 (14,4 m) con 10 scatti (200 ms, SNR 10,2), invariato. Pixel 11 µm invariato</t>
        </is>
      </c>
      <c r="G90" s="47" t="inlineStr">
        <is>
          <t>Restare a 12 scatti in città accettando SNR 9,6; 13 scatti (SNR 9,96, senza margine)</t>
        </is>
      </c>
      <c r="H90" s="47" t="inlineStr">
        <is>
          <t>Mantiene SNR ≥ 10 (DR-09); l'inseguimento più lungo è 280 ms, +20% = 0,34 s, dentro gli 0,36 s di DR-11 già verificati da Giuliano. Di giorno il segnale scende del ~13% rispetto al Korsch (SNR ~ −6%, non visibile)</t>
        </is>
      </c>
      <c r="I90" s="47" t="inlineStr">
        <is>
          <t>DR-09, DR-11 (nessun cambio di valore); volume dati invariato</t>
        </is>
      </c>
      <c r="J90" s="47" t="inlineStr">
        <is>
          <t>DR-09, DR-11</t>
        </is>
      </c>
      <c r="K90" s="47" t="n"/>
      <c r="L90" s="47" t="inlineStr">
        <is>
          <t>Approvata</t>
        </is>
      </c>
      <c r="M90" s="47" t="n"/>
      <c r="N90" s="47" t="inlineStr">
        <is>
          <t>Chat del 30/10/2026 (A5.P4)</t>
        </is>
      </c>
      <c r="O90" s="47" t="inlineStr">
        <is>
          <t>Sostituisce D-077. Calcolo con il modello di p2_ostruzione_snr.py (A3) e τ = 1 − 0,448² − 0,01 = 0,789. Approvata perché non cambia i valori di Giuliano (DR-11 resta ≥ 0,36 s), ma segue D-088 (Proposta)</t>
        </is>
      </c>
    </row>
    <row r="91" s="26">
      <c r="A91" s="47" t="inlineStr">
        <is>
          <t>D-090</t>
        </is>
      </c>
      <c r="B91" s="48" t="n">
        <v>46325</v>
      </c>
      <c r="C91" s="47" t="inlineStr">
        <is>
          <t>A5</t>
        </is>
      </c>
      <c r="D91" s="47" t="inlineStr">
        <is>
          <t>Giuseppe</t>
        </is>
      </c>
      <c r="E91" s="47" t="inlineStr">
        <is>
          <t>Payload</t>
        </is>
      </c>
      <c r="F91" s="47" t="inlineStr">
        <is>
          <t>Materiali del telescopio: specchi in vetro alleggerito (~60%) a bassa dilatazione, struttura (tubo, paratie, ragno del secondario) in fibra di carbonio, attacchi flessibili in titanio/Invar</t>
        </is>
      </c>
      <c r="G91" s="47" t="inlineStr">
        <is>
          <t>Tutto alluminio (specchi e struttura nello stesso metallo: si dilata in modo uniforme, più facile da lavorare, ~1,34 kg contro ~1,29 kg per il Korsch, ma superfici meno lisce e più luce diffusa)</t>
        </is>
      </c>
      <c r="H91" s="47" t="inlineStr">
        <is>
          <t>Migliore qualità delle superfici (meno luce diffusa, utile di notte) e struttura che si dilata poco con la temperatura (fuoco più stabile, DR-03); massa praticamente uguale (stima dal basso, a5_calcoli/p4_telescopio_massa.py)</t>
        </is>
      </c>
      <c r="I91" s="47" t="inlineStr">
        <is>
          <t>Massa del telescopio (A5.P4); fuoco e termico del payload (A5.P7, DR-03); fornitori (Fase B)</t>
        </is>
      </c>
      <c r="J91" s="47" t="inlineStr">
        <is>
          <t>DR-03</t>
        </is>
      </c>
      <c r="K91" s="47" t="inlineStr">
        <is>
          <t>R-49</t>
        </is>
      </c>
      <c r="L91" s="47" t="inlineStr">
        <is>
          <t>Approvata</t>
        </is>
      </c>
      <c r="M91" s="47" t="n"/>
      <c r="N91" s="47" t="inlineStr">
        <is>
          <t>Chat del 30/10/2026 (A5.P4)</t>
        </is>
      </c>
      <c r="O91" s="47" t="inlineStr">
        <is>
          <t>Scelta di Giuseppe prima del cambio di schema; vale anche per il telescopio RC (D-088). Massa RC ~1,5 kg da confermare nel resto di A5.P4 | 30/10/2026 (D-098): la distanza tra gli specchi la tengono aste in Invar; il carbonio resta per guscio e paratie.</t>
        </is>
      </c>
    </row>
    <row r="92" s="26">
      <c r="A92" s="47" t="inlineStr">
        <is>
          <t>D-091</t>
        </is>
      </c>
      <c r="B92" s="48" t="n">
        <v>46325</v>
      </c>
      <c r="C92" s="47" t="inlineStr">
        <is>
          <t>A5</t>
        </is>
      </c>
      <c r="D92" s="47" t="inlineStr">
        <is>
          <t>Giuseppe</t>
        </is>
      </c>
      <c r="E92" s="47" t="inlineStr">
        <is>
          <t>Struttura</t>
        </is>
      </c>
      <c r="F92" s="47" t="inlineStr">
        <is>
          <t>Posizione della scheda payload (FPGA + chip AI + memoria, opzione A): sulla struttura del satellite vicino al piano focale, sul lato opposto al telescopio (circa Y +60 mm, Z ~380 mm dalla faccia a nadir), con un radiatore proprio e senza contatto termico diretto con il telescopio; collegata ai sensori con cavi piatti flessibili di 10–15 cm. Ingombro ~100 × 100 × 60 mm (TBC)</t>
        </is>
      </c>
      <c r="G92" s="47" t="inlineStr">
        <is>
          <t>B: nella pila dell'elettronica con il computer di bordo (cavo di 20–40 cm a ~7,5 Gbit/s, più disturbi; bilanciamento tutto sul resto del layout); C: scheda divisa in due, piccola FPGA dietro i sensori per la somma (~2–3 W) e AI + memoria nella pila (tenuta come riserva se l'analisi termica A5.P7 trova problemi)</t>
        </is>
      </c>
      <c r="H92" s="47" t="inlineStr">
        <is>
          <t>Il flusso più veloce (~7,5 Gbit/s di giorno, D-081) resta su cavi corti; una sola scheda; fa da contrappeso al telescopio (spostamento del baricentro da ~3,8 a ~2,9 mm su 30 kg, DR-21 ≤ 10 mm). Il calore (~6 W per ~10 min a passaggio, ~1 Wh) va alla struttura e al radiatore, non al telescopio (fuoco DR-03, sensore notturno a ~0 °C)</t>
        </is>
      </c>
      <c r="I92" s="47" t="inlineStr">
        <is>
          <t>Layout (A5.7, Giuliano): spazio a L accanto al telescopio; baricentro (DR-14, DR-21); termico del payload (A5.P7); cablaggi</t>
        </is>
      </c>
      <c r="J92" s="47" t="inlineStr">
        <is>
          <t>DR-03, DR-14, DR-21</t>
        </is>
      </c>
      <c r="K92" s="47" t="inlineStr">
        <is>
          <t>R-51</t>
        </is>
      </c>
      <c r="L92" s="47" t="inlineStr">
        <is>
          <t>Approvata</t>
        </is>
      </c>
      <c r="M92" s="47" t="n"/>
      <c r="N92" s="47" t="inlineStr">
        <is>
          <t>Chat del 30/10/2026 (A5.P4)</t>
        </is>
      </c>
      <c r="O92" s="47" t="inlineStr">
        <is>
          <t>Proposta: occupa spazio nel layout di Giuliano. Calcolo del baricentro in a5_calcoli/p4_massa_baricentro.py | 31/10/2026 Giuliano: approvata con una modifica di layout: scheda ruotata con lo spessore di 60 mm lungo Y (Y +30…+90), centro a X +43 mm (segue il telescopio, D-118) e Z +103 mm nel sistema D-114 (Z ~330 mm dalla faccia a nadir). Nella posizione originale (Y +60 ± 50 mm) entrava di 17 mm nella colonna del telescopio (Y ≤ +27 mm)</t>
        </is>
      </c>
    </row>
    <row r="93" s="26">
      <c r="A93" s="47" t="inlineStr">
        <is>
          <t>D-092</t>
        </is>
      </c>
      <c r="B93" s="48" t="n">
        <v>46325</v>
      </c>
      <c r="C93" s="47" t="inlineStr">
        <is>
          <t>A5</t>
        </is>
      </c>
      <c r="D93" s="47" t="inlineStr">
        <is>
          <t>Giuliano</t>
        </is>
      </c>
      <c r="E93" s="47" t="inlineStr">
        <is>
          <t>AI / Dati</t>
        </is>
      </c>
      <c r="F93" s="47" t="inlineStr">
        <is>
          <t>Coda di scarico dei dati del payload nella memoria della scheda payload (Q1, conferma D-086): la scheda resta in attesa (~2 W FPGA + memoria, ~0,2 W chip AI) solo mentre si scaricano dati del payload, cioè durante i contatti (~71 min/giorno per satellite, A5.5), ~2,4–2,6 Wh/giorno; spenta fuori da riprese, elaborazione e scarichi</t>
        </is>
      </c>
      <c r="G93" s="47" t="inlineStr">
        <is>
          <t>Q2: coda nel computer di bordo (scheda spenta dopo l'elaborazione)</t>
        </is>
      </c>
      <c r="H93" s="47" t="inlineStr">
        <is>
          <t>Q2 farebbe risparmiare ~2,5 Wh/giorno su un totale dominato da spinta e riscaldatori, ma chiederebbe all'OBC decine di GB, un collegamento veloce verso la radio e copie in più, con OBC non ancora scelto né assegnato (D-038). La memoria da 32 GB della scheda esiste già (D-086)</t>
        </is>
      </c>
      <c r="I93" s="47" t="inlineStr">
        <is>
          <t>Bilancio di potenza (P-15, colonna Scarico), OBC (P-17, resta semplice), software di bordo (gestione della coda sulla scheda, D-073)</t>
        </is>
      </c>
      <c r="J93" s="47" t="n"/>
      <c r="K93" s="47" t="inlineStr">
        <is>
          <t>R-07</t>
        </is>
      </c>
      <c r="L93" s="47" t="inlineStr">
        <is>
          <t>Approvata</t>
        </is>
      </c>
      <c r="M93" s="47" t="n"/>
      <c r="N93" s="47" t="inlineStr">
        <is>
          <t>Chat del 30/10/2026 (A5.6.1)</t>
        </is>
      </c>
      <c r="O93" s="47" t="inlineStr">
        <is>
          <t>Risponde alla domanda di Giuseppe (A5.P6 provvisorio). Il suo conto usava 2,5 h/giorno (finestra del ricevitore S, D-084): con i contatti reali di ~71 min l'energia di attesa scende da ~5 a ~2,5 Wh/giorno, da confermare da Giuseppe in A5.P6 | 30/10/2026 (D-097, Proposta): con la scheda di riferimento (classe Xiphos Q8) l'attesa in scarico è 3,5 W (AI spento), ~4,1 Wh/giorno con 71 min di contatti.</t>
        </is>
      </c>
    </row>
    <row r="94" s="26">
      <c r="A94" s="47" t="inlineStr">
        <is>
          <t>D-093</t>
        </is>
      </c>
      <c r="B94" s="48" t="n">
        <v>46325</v>
      </c>
      <c r="C94" s="47" t="inlineStr">
        <is>
          <t>A5</t>
        </is>
      </c>
      <c r="D94" s="47" t="inlineStr">
        <is>
          <t>Giuseppe</t>
        </is>
      </c>
      <c r="E94" s="47" t="inlineStr">
        <is>
          <t>Payload</t>
        </is>
      </c>
      <c r="F94" s="47" t="inlineStr">
        <is>
          <t>Sensore diurno di riferimento: classe Sony IMX342 (CMOS a otturatore globale, 3,45 µm, 6480 × 4870, fino a ~70 fps; usata la finestra 6463 × 4840 nel campo corretto): GSD 1,49 m, swath 9,6 km, ~7,5 Gbit/s a 20 fps, ~5 W (camera commerciale con lo stesso sensore 5,3 W). Seconda fonte: Gpixel GMAX3265 (3,2 µm). Filtri RGB-NIR a strisce applicati sopra il sensore (D-025)</t>
        </is>
      </c>
      <c r="G94" s="47" t="inlineStr">
        <is>
          <t>Gpixel GMAX3265 come principale (1,38 m, ma luce per pixel 86%, SNR diurno −7%, 8,7 Gbit/s, sensore 29,9 × 22,4 mm più grande del posto nel piano focale); Teledyne e2v Emerald 67M USV (già selezionato per lo spazio, ma pixel 2,5 µm: luce 53%, SNR −27%, 13 Gbit/s, dettaglio oltre quello che il telescopio da 12 cm risolve); ams CMV12000 (molto usato in volo, ma pixel 5,5 µm = 2,4 m, A2 da rifare)</t>
        </is>
      </c>
      <c r="H94" s="47" t="inlineStr">
        <is>
          <t>Unico candidato che riempie esattamente il campo corretto del telescopio (D-088) con la risoluzione di A2 e la luce di A3; nitidezza di sistema a Nyquist 0,17 (DR-53). Commerciale senza prove di radiazione pubblicate: rischio R-52, gestito con prove in Fase B e seconda fonte con pixel quasi uguale</t>
        </is>
      </c>
      <c r="I94" s="47" t="inlineStr">
        <is>
          <t>SNR diurno e TDI (A3), scheda (D-081, D-085), potenza P-12, massa M-12, piano focale (D-027)</t>
        </is>
      </c>
      <c r="J94" s="47" t="inlineStr">
        <is>
          <t>DR-53, DR-54</t>
        </is>
      </c>
      <c r="K94" s="47" t="inlineStr">
        <is>
          <t>R-52</t>
        </is>
      </c>
      <c r="L94" s="47" t="inlineStr">
        <is>
          <t>Approvata</t>
        </is>
      </c>
      <c r="M94" s="47" t="n"/>
      <c r="N94" s="47" t="inlineStr">
        <is>
          <t>Chat del 30/10/2026 (A5.P5)</t>
        </is>
      </c>
      <c r="O94" s="47" t="inlineStr">
        <is>
          <t>Calcolo in a5_calcoli/p5_sensori.py. Dati: schede gophotonics (IMX342, GMAX3265), Imperx CXP-C6440 (5,3 W), articolo Teledyne space-screened (giugno 2025), prova protoni CMV12000 (SPIE 11180)</t>
        </is>
      </c>
    </row>
    <row r="95" s="26">
      <c r="A95" s="47" t="inlineStr">
        <is>
          <t>D-094</t>
        </is>
      </c>
      <c r="B95" s="48" t="n">
        <v>46325</v>
      </c>
      <c r="C95" s="47" t="inlineStr">
        <is>
          <t>A5</t>
        </is>
      </c>
      <c r="D95" s="47" t="inlineStr">
        <is>
          <t>Giuseppe</t>
        </is>
      </c>
      <c r="E95" s="47" t="inlineStr">
        <is>
          <t>Payload</t>
        </is>
      </c>
      <c r="F95" s="47" t="inlineStr">
        <is>
          <t>Sensore notturno di riferimento confermato: Gpixel GSENSE400BSI (sCMOS BSI, 2048 × 2048, 11 µm, otturatore a scorrimento con FMC, &lt; 0,6 W, QE ~0,8 a 650 nm, buio 0,4 e-/s a −20 °C). Va tenuto intorno a 0 °C o meno durante le riprese notturne (buio ≤ ~3 e-/s come in A3)</t>
        </is>
      </c>
      <c r="G95" s="47" t="inlineStr">
        <is>
          <t>GSENSE4040BSI (9 µm: quartiere a 3,9 m con 29 scatti = 580 ms oltre DR-11, oppure 7,8 m raggruppando; pacchetto 53 mm, &lt; 1,4 W; versione FSI in volo su GRBBeta dal 2024); GSENSE2020BSI (6,5 µm: stessa resa solo raggruppando a 5,6 m, swath 5,7 km invece di 9,7; provato a protoni fino a 100 krad, non in volo)</t>
        </is>
      </c>
      <c r="H95" s="47" t="inlineStr">
        <is>
          <t>Pixel adatto alla luce notturna con il nostro telescopio: 14 scatti in città, 10 nei paesi (D-089). La stessa tecnologia dei due fratelli: le loro prove (GSENSE2020BSI funzionante dopo 100 krad di protoni, rumore ×2, buio ×60) valgono come indizio; prova propria in Fase B (R-52)</t>
        </is>
      </c>
      <c r="I95" s="47" t="inlineStr">
        <is>
          <t>SNR notturno (DR-09), termico del sensore (radiatore D-095, A5.P7), potenza P-13</t>
        </is>
      </c>
      <c r="J95" s="47" t="inlineStr">
        <is>
          <t>DR-09, DR-54, DR-55</t>
        </is>
      </c>
      <c r="K95" s="47" t="inlineStr">
        <is>
          <t>R-52</t>
        </is>
      </c>
      <c r="L95" s="47" t="inlineStr">
        <is>
          <t>Approvata</t>
        </is>
      </c>
      <c r="M95" s="47" t="n"/>
      <c r="N95" s="47" t="inlineStr">
        <is>
          <t>Chat del 30/10/2026 (A5.P5)</t>
        </is>
      </c>
      <c r="O95" s="47" t="inlineStr">
        <is>
          <t>Calcolo in a5_calcoli/p5_sensori_notte.py. Fonti: scheda gophotonics GSENSE400BSI e GSENSE4040BSI; articolo LUVCam (arXiv 2607.28831) per GRBBeta, QUVIK e prova protoni del GSENSE2020BSI. Conferma D-026 (A2/A3)</t>
        </is>
      </c>
    </row>
    <row r="96" s="26">
      <c r="A96" s="47" t="inlineStr">
        <is>
          <t>D-095</t>
        </is>
      </c>
      <c r="B96" s="48" t="n">
        <v>46325</v>
      </c>
      <c r="C96" s="47" t="inlineStr">
        <is>
          <t>A5</t>
        </is>
      </c>
      <c r="D96" s="47" t="inlineStr">
        <is>
          <t>Giuseppe</t>
        </is>
      </c>
      <c r="E96" s="47" t="inlineStr">
        <is>
          <t>Termico</t>
        </is>
      </c>
      <c r="F96" s="47" t="inlineStr">
        <is>
          <t>Radiatori del payload sulla faccia laterale 226 × 454 mm rivolta dalla parte opposta al Sole (normale all'orbita), verso il fondo del satellite: sensore notturno ~100 cm² a ~−10 °C, scheda payload ~90 cm² a ~30 °C, in tutto ~190 cm² (stima con margine ×1,5, TBC fino ad A5.P7); vernice bianca</t>
        </is>
      </c>
      <c r="G96" s="47" t="inlineStr">
        <is>
          <t>Faccia zenit (~145 cm², il sensore non vede la Terra ma di giorno prende il Sole; condivisa con antenna S a zenit e star tracker); divisi (sensore a zenit, scheda sul lato: due facce occupate)</t>
        </is>
      </c>
      <c r="H96" s="47" t="inlineStr">
        <is>
          <t>In orbita eliosincrona 10:30/22:30 la faccia dalla parte opposta al Sole non vede quasi mai il Sole diretto: è inutile per i pannelli solari, quindi non toglie spazio ad A5.6; vede la Terra al 31% (radiatore un po' più grande). La scheda accumula il picco di 6 W nella sua massa (+9 K a passaggio): il radiatore smaltisce la media</t>
        </is>
      </c>
      <c r="I96" s="47" t="inlineStr">
        <is>
          <t>Pannelli solari sul corpo e layout (A5.6, A5.7 Giuliano): il telescopio conviene da quel lato; assetti con rollio (riprese a 45°, roll bias) da verificare; termico del payload (A5.P7)</t>
        </is>
      </c>
      <c r="J96" s="47" t="inlineStr">
        <is>
          <t>DR-55</t>
        </is>
      </c>
      <c r="K96" s="47" t="inlineStr">
        <is>
          <t>R-51</t>
        </is>
      </c>
      <c r="L96" s="47" t="inlineStr">
        <is>
          <t>Approvata</t>
        </is>
      </c>
      <c r="M96" s="47" t="n"/>
      <c r="N96" s="47" t="inlineStr">
        <is>
          <t>Chat del 30/10/2026 (A5.P5, richiesta di Giuliano per A5.6)</t>
        </is>
      </c>
      <c r="O96" s="47" t="inlineStr">
        <is>
          <t>Proposta: occupa superficie sulle facce di Giuliano. Calcolo in a5_calcoli/p7_radiatori_stima.py (emissività 0,85, assorbimento 0,20, IR terrestre 237 W/m², perdite verso l'interno ~0,5 W) | 30/10/2026 Giuliano: approvata. Lato EPS nessun conflitto: angolo beta sempre positivo (11–44° nei 2 anni, A5.6.2), quindi la faccia normale all'orbita opposta al Sole non lo vede nell'assetto nominale e lascia libera per i pannelli la faccia dal lato del Sole. Esposizione al Sole di quella faccia con il rollio delle riprese a 45° e in safe: la calcola Giuliano in A5.6.5 (pannelli e assetti) | 30/10/2026 (D-106, Proposta): con il rollio fisso di 31–52° verso il Sole fuori dalle riprese la faccia dei radiatori guarda di più la Terra: vista della Terra da rifare (Giuseppe) | 30/10/2026 (D-106 Approvata, D-107): con il rollio fisso la faccia dei radiatori vede meno Terra (0,02–0,10) e il Sole per ~30 min/orbita a 70–78°: aree invariate; da spenti servono riscaldatori di sopravvivenza (D-107)</t>
        </is>
      </c>
    </row>
    <row r="97" s="26">
      <c r="A97" s="47" t="inlineStr">
        <is>
          <t>D-096</t>
        </is>
      </c>
      <c r="B97" s="48" t="n">
        <v>46325</v>
      </c>
      <c r="C97" s="47" t="inlineStr">
        <is>
          <t>A5</t>
        </is>
      </c>
      <c r="D97" s="47" t="inlineStr">
        <is>
          <t>Giuseppe</t>
        </is>
      </c>
      <c r="E97" s="47" t="inlineStr">
        <is>
          <t>GNC</t>
        </is>
      </c>
      <c r="F97" s="47" t="inlineStr">
        <is>
          <t>Ripresa diurna con rallentamento della scena (slow-down, fattore 2): durante ogni scena il satellite ruota all'indietro in beccheggio a metà della velocità angolare della linea di vista (~0,70°/s a nadir; ~0,50°/s a 45° di traverso, ~0,35°/s a 45° lungo traccia), così il terreno scorre sul sensore a metà velocità. Scatto 0,2 ms invariato (mosso 0,5 pixel invece di 1), TDI digitale a 4 passaggi con ~10 immagini/s, scena ~2,6 s invece di ~1,3 s (rotazione ~1,8° a scena)</t>
        </is>
      </c>
      <c r="G97" s="47" t="inlineStr">
        <is>
          <t>A: lasciare 0,2 ms senza rallentamento (mosso 1 pixel: nitidezza lungo traccia 0,07 contro 0,10 di traverso); B: 0,1 ms con 8 passaggi a 40 immagini/s (stessa nitidezza e SNR di E, ma ~15 Gbit/s e il sensore a 12 bit forse non arriva a 40 immagini/s); C: 0,1 ms con 4 passaggi (nitidezza come E ma SNR diurno −30%: tipico ~46, inverno scuro ~18)</t>
        </is>
      </c>
      <c r="H97" s="47" t="inlineStr">
        <is>
          <t>Unica opzione che migliora la nitidezza lungo traccia (0,067 → 0,094 al centro, 0,055 → 0,078 all'angolo) senza perdere SNR (tipico ~65, inverno scuro ~26) e dimezzando i dati verso la scheda (~3,7 Gbit/s invece di 7,5). Manovra della stessa famiglia della FMC notturna (D-044), più lenta e più lunga</t>
        </is>
      </c>
      <c r="I97" s="47" t="inlineStr">
        <is>
          <t>ADCS (Giuliano): profilo di beccheggio in ripresa diurna, durata della finestra per scena e numero di scene per passaggio (D-072); DR-12 e DR-13 (frequenza e dati più bassi); riallineamento TDI (DR-26); yaw steering (DR-24)</t>
        </is>
      </c>
      <c r="J97" s="47" t="inlineStr">
        <is>
          <t>DR-12, DR-13, DR-24, DR-26, DR-53, DR-56</t>
        </is>
      </c>
      <c r="K97" s="47" t="inlineStr">
        <is>
          <t>R-53</t>
        </is>
      </c>
      <c r="L97" s="47" t="inlineStr">
        <is>
          <t>Approvata</t>
        </is>
      </c>
      <c r="M97" s="47" t="n"/>
      <c r="N97" s="47" t="inlineStr">
        <is>
          <t>Chat del 30/10/2026 (A5.P5)</t>
        </is>
      </c>
      <c r="O97" s="47" t="inlineStr">
        <is>
          <t>Proposta: aggiunge una manovra in ripresa diurna. Calcolo in a5_calcoli/p5_mtf_sistema.py. Ripiego se l'ADCS non la regge: opzione C | 30/10/2026 Giuliano: in valutazione nel sotto-passo GNC A5.4.4 (dopo A5.6.2, prima di A5.6.3). Stima di primo ordine: momento ~0,014 N·m·s (I = 1,14 kg·m², 0,70°/s) contro 0,030 di D-045; coppia ~0,003 N·m con rampa di 5 s, sotto i 7 mN·m delle ruote | 30/10/2026 Giuliano: approvata in A5.4.4 con le condizioni di D-101 (ripresa 4,2 s, rotazione 2,9° a nadir, calibrazione del fattore di scala, DR-58)</t>
        </is>
      </c>
    </row>
    <row r="98" s="26">
      <c r="A98" s="47" t="inlineStr">
        <is>
          <t>D-097</t>
        </is>
      </c>
      <c r="B98" s="48" t="n">
        <v>46325</v>
      </c>
      <c r="C98" s="47" t="inlineStr">
        <is>
          <t>A5</t>
        </is>
      </c>
      <c r="D98" s="47" t="inlineStr">
        <is>
          <t>Giuseppe</t>
        </is>
      </c>
      <c r="E98" s="47" t="inlineStr">
        <is>
          <t>Potenza</t>
        </is>
      </c>
      <c r="F98" s="47" t="inlineStr">
        <is>
          <t>Potenze del payload per modo (A5.P6), con prodotti di riferimento già in volo: scheda FPGA classe Xiphos Q8 (5 W tipici) e chip AI classe Ubotica CogniSAT-XE1 (2 W tipici). Ripresa diurna 12 W (sensore 5 + FPGA 5 + AI 2), ripresa notturna 9 W (2 + 5 + 2), scarico 3,5 W (solo FPGA, AI spento), spinta e riposo/safe 0 W (riscaldatori a parte, P-23, da A5.P7). Energia ~7 Wh/giorno in routine (1 passaggio diurno + 1 notturno), ~10 Wh in emergenza (2 + 2)</t>
        </is>
      </c>
      <c r="G98" s="47" t="inlineStr">
        <is>
          <t>Valori provvisori del 30/10 (FPGA ~6 W, scarico 2 W + AI 0,2 W): stime senza prodotto di riferimento</t>
        </is>
      </c>
      <c r="H98" s="47" t="inlineStr">
        <is>
          <t>Valori dalle schede di prodotti della classe scelta (D-085): Xiphos Q8 5 W tipici, minimo 3,5 W; CogniSAT-XE1 2 W tipici, 5 W massimi; camera con IMX342 5,3 W; GSENSE400BSI &lt; 0,6 W. Scheda in ripresa da 8 a 7 W; in scarico da 2,2 a 3,5 W (+~1,5 Wh/giorno, minimo dichiarato della classe; da ridurre in Fase B tenendo acceso solo il processore, TBC)</t>
        </is>
      </c>
      <c r="I98" s="47" t="inlineStr">
        <is>
          <t>Bilancio di potenza (P-12…P-16, Giuliano A5.6), D-092 (potenza di attesa in scarico), termico del payload (A5.P7)</t>
        </is>
      </c>
      <c r="J98" s="47" t="inlineStr">
        <is>
          <t>DR-13</t>
        </is>
      </c>
      <c r="K98" s="47" t="n"/>
      <c r="L98" s="47" t="inlineStr">
        <is>
          <t>Approvata</t>
        </is>
      </c>
      <c r="M98" s="47" t="n"/>
      <c r="N98" s="47" t="inlineStr">
        <is>
          <t>Chat del 30/10/2026 (A5.P6)</t>
        </is>
      </c>
      <c r="O98" s="47" t="inlineStr">
        <is>
          <t>Proposta: cambia i valori di P-15 che Giuliano ha nel bilancio. Calcolo in a5_calcoli/p6_potenza.py. Fonti: scheda Xiphos Q8 Rev C; brief Ubotica CogniSAT-XE1 v4.12; Imperx CXP-C6440; gophotonics GSENSE400BSI | 30/10/2026 Giuliano: approvata. Conti ricontrollati (passaggio diurno ~1,6 Wh, notturno ~1,2 Wh, scarico 3,5 W × 71 min ≈ 4,1 Wh/giorno). Totali del bilancio con margini: ripresa diurna 36,3 W, notturna 32,4 W, scarico 44,9 W (senza OBC, EPS e termico di piattaforma, ancora TBD)</t>
        </is>
      </c>
    </row>
    <row r="99" s="26">
      <c r="A99" s="47" t="inlineStr">
        <is>
          <t>D-098</t>
        </is>
      </c>
      <c r="B99" s="48" t="n">
        <v>46325</v>
      </c>
      <c r="C99" s="47" t="inlineStr">
        <is>
          <t>A5</t>
        </is>
      </c>
      <c r="D99" s="47" t="inlineStr">
        <is>
          <t>Giuseppe</t>
        </is>
      </c>
      <c r="E99" s="47" t="inlineStr">
        <is>
          <t>Payload</t>
        </is>
      </c>
      <c r="F99" s="47" t="inlineStr">
        <is>
          <t>Distanza tra primario e secondario tenuta da 4 aste in Invar (Ø ~6 mm, ~170 mm, ~155 g) invece che dal tubo in carbonio, che resta come guscio contro la luce (più sottile, ~1 mm). Specchi in vetro a bassa dilatazione (classe Zerodur, ≤ ~0,1 ppm/K); attacco del piano focale in Invar. Fuoco: 1,7 µm/K → telescopio da tenere entro ±11 K dalla temperatura di regolazione; nessun effetto dell'umidità</t>
        </is>
      </c>
      <c r="G99" s="47" t="inlineStr">
        <is>
          <t>Motorino di messa a fuoco sul secondario (~80 g, corregge tutto ma è un meccanismo in più: riserva per la Fase B); carbonio con barriera all'umidità (riduce ma non elimina: 20–100 ppm di accorciamento = 27–137 µm di fuoco); struttura e specchi in carburo di silicio (atermico, ma costoso e fuori misura per un CubeSat); solo pre-correzione a terra (se la stima sbaglia non si recupera)</t>
        </is>
      </c>
      <c r="H99" s="47" t="inlineStr">
        <is>
          <t>Il fuoco è molto sensibile alla distanza tra gli specchi (+1 µm → −8,1 µm al fuoco, calcolato raggio per raggio): il carbonio che perde umidità nel vuoto porterebbe il fuoco fuori da ±37 µm (DR-03). L'Invar non assorbe acqua e si dilata poco; ±11 K si tengono con i riscaldatori (D-100). Massa del telescopio circa invariata (aste +0,16 kg, tubo più sottile −0,24 kg)</t>
        </is>
      </c>
      <c r="I99" s="47" t="inlineStr">
        <is>
          <t>Struttura del telescopio (D-090: il carbonio non è più strutturale tra gli specchi), termico (DR-57, D-100), massa M-11 (circa invariata), prima frequenza propria (DR-38, Fase B)</t>
        </is>
      </c>
      <c r="J99" s="47" t="inlineStr">
        <is>
          <t>DR-03, DR-57, DR-38</t>
        </is>
      </c>
      <c r="K99" s="47" t="inlineStr">
        <is>
          <t>R-49</t>
        </is>
      </c>
      <c r="L99" s="47" t="inlineStr">
        <is>
          <t>Approvata</t>
        </is>
      </c>
      <c r="M99" s="47" t="n"/>
      <c r="N99" s="47" t="inlineStr">
        <is>
          <t>Chat del 30/10/2026 (A5.P7)</t>
        </is>
      </c>
      <c r="O99" s="47" t="inlineStr">
        <is>
          <t>Calcolo in a5_calcoli/p4_ottica/fuoco_termico.py (con specchi Zerodur e tubo in carbonio da 0,5 ppm/K il fuoco sarebbe 0,72 µm/K, ±26 K, ma senza protezione dall'umidità)</t>
        </is>
      </c>
    </row>
    <row r="100" s="26">
      <c r="A100" s="47" t="inlineStr">
        <is>
          <t>D-099</t>
        </is>
      </c>
      <c r="B100" s="48" t="n">
        <v>46325</v>
      </c>
      <c r="C100" s="47" t="inlineStr">
        <is>
          <t>A5</t>
        </is>
      </c>
      <c r="D100" s="47" t="inlineStr">
        <is>
          <t>Giuseppe</t>
        </is>
      </c>
      <c r="E100" s="47" t="inlineStr">
        <is>
          <t>Propulsione</t>
        </is>
      </c>
      <c r="F100" s="47" t="inlineStr">
        <is>
          <t>Valore di N in D-074: spinta vietata da 30 minuti prima di ogni ripresa pianificata (TBC), fino a 5 minuti dopo come in D-074. Da misurare al commissioning (fuoco e temperatura del telescopio dopo la spinta) e ridurre se possibile</t>
        </is>
      </c>
      <c r="G100" s="47" t="inlineStr">
        <is>
          <t>15 minuti (basterebbe per la temperatura media del telescopio, ma senza margine per i gradienti vicino al motore, non ancora calcolati); 60 minuti (valore provvisorio: più riprese d'emergenza col rischio di prima immagine degradata)</t>
        </is>
      </c>
      <c r="H100" s="47" t="inlineStr">
        <is>
          <t>Il telescopio è isolato e lento (costante di tempo ~1–4 h con attacchi da 0,1–0,3 W/K): se il motore scalda l'interno di 5 K, dopo 30 min il telescopio sale di ~1–2 K contro i ±11 K ammessi (D-098). Tempo di spinta disponibile ancora più largo che con 60 min (Giuliano, D-074: 22,4 h/giorno con 60 min)</t>
        </is>
      </c>
      <c r="I100" s="47" t="inlineStr">
        <is>
          <t>Piano operativo e spinta (D-074, DR-46, Giuliano), riprese d'emergenza, commissioning</t>
        </is>
      </c>
      <c r="J100" s="47" t="inlineStr">
        <is>
          <t>DR-46</t>
        </is>
      </c>
      <c r="K100" s="47" t="inlineStr">
        <is>
          <t>R-24</t>
        </is>
      </c>
      <c r="L100" s="47" t="inlineStr">
        <is>
          <t>Approvata</t>
        </is>
      </c>
      <c r="M100" s="47" t="n"/>
      <c r="N100" s="47" t="inlineStr">
        <is>
          <t>Chat del 30/10/2026 (A5.P7)</t>
        </is>
      </c>
      <c r="O100" s="47" t="inlineStr">
        <is>
          <t>Proposta: fissa un valore del piano di spinta di Giuliano. Calcolo in a5_calcoli/p7_termico.py. Il modello termico completo (gradienti dal motore, posizione della REGULUS nel layout A5.7) in Fase B | 30/10/2026 Giuliano: approvata. Più tempo per la spinta (con 60 min restavano 22,4 h/giorno, D-074); entra nella strategia di spinta (A5.6.4)</t>
        </is>
      </c>
    </row>
    <row r="101" s="26">
      <c r="A101" s="47" t="inlineStr">
        <is>
          <t>D-100</t>
        </is>
      </c>
      <c r="B101" s="48" t="n">
        <v>46325</v>
      </c>
      <c r="C101" s="47" t="inlineStr">
        <is>
          <t>A5</t>
        </is>
      </c>
      <c r="D101" s="47" t="inlineStr">
        <is>
          <t>Giuseppe</t>
        </is>
      </c>
      <c r="E101" s="47" t="inlineStr">
        <is>
          <t>Termico</t>
        </is>
      </c>
      <c r="F101" s="47" t="inlineStr">
        <is>
          <t>Termico del payload: telescopio regolato con riscaldatori a una temperatura vicina a quella media dell'interno (~15–20 °C, TBC) entro ±11 K; coperte isolanti (MLI) sulla colonna e attacchi isolati (0,1–0,3 W/K); coperchio chiuso fuori dalle riprese. Riscaldatori: ~4 W di picco a coperchio aperto, ~2 W in media in operazioni, ~1 W in safe (solo sopravvivenza). Radiatori come D-095</t>
        </is>
      </c>
      <c r="G101" s="47" t="inlineStr">
        <is>
          <t>Riscaldatori sempre accesi a 4 W (valore provvisorio, ~96 Wh/giorno); nessuna regolazione (fuoco non garantito)</t>
        </is>
      </c>
      <c r="H101" s="47" t="inlineStr">
        <is>
          <t>Bilancio semplice: perdita dall'apertura aperta verso la Terra ~1,8–2,3 W, coperchio chiuso ~0,2 W, MLI 0,1–0,7 W, più la conduzione verso l'interno che dipende dalla temperatura di regolazione. In safe il fuoco non serve: basta restare nei limiti di sopravvivenza</t>
        </is>
      </c>
      <c r="I101" s="47" t="inlineStr">
        <is>
          <t>Bilancio di potenza P-23 (Giuliano: valori più bassi del provvisorio), termico di piattaforma (temperatura interna), D-095</t>
        </is>
      </c>
      <c r="J101" s="47" t="inlineStr">
        <is>
          <t>DR-03, DR-55, DR-57</t>
        </is>
      </c>
      <c r="K101" s="47" t="inlineStr">
        <is>
          <t>R-24, R-49, R-51</t>
        </is>
      </c>
      <c r="L101" s="47" t="inlineStr">
        <is>
          <t>Approvata</t>
        </is>
      </c>
      <c r="M101" s="47" t="n"/>
      <c r="N101" s="47" t="inlineStr">
        <is>
          <t>Chat del 30/10/2026 (A5.P7)</t>
        </is>
      </c>
      <c r="O101" s="47" t="inlineStr">
        <is>
          <t>Proposta: cambia P-23 nel bilancio di Giuliano. Calcolo in a5_calcoli/p7_termico.py; modello termico vero in Fase B | 30/10/2026 Giuliano: approvata. Energia dei riscaldatori del payload da ~96 a ~48 Wh/giorno in operazioni (~24 Wh in safe). Nel budget P-23 la colonna Riposo/safe porta 1 W (safe): nel profilo orbita per orbita (A5.6.3) il riposo in operazioni usa 2 W | 30/10/2026 (D-107, Proposta): +1 W di riscaldatori di sopravvivenza per sensore notturno e scheda fuori dalle riprese: P-23 4/4/3/3/2 W</t>
        </is>
      </c>
    </row>
    <row r="102" s="26">
      <c r="A102" s="47" t="inlineStr">
        <is>
          <t>D-101</t>
        </is>
      </c>
      <c r="B102" s="48" t="n">
        <v>46325</v>
      </c>
      <c r="C102" s="47" t="inlineStr">
        <is>
          <t>A5</t>
        </is>
      </c>
      <c r="D102" s="47" t="inlineStr">
        <is>
          <t>Giuliano</t>
        </is>
      </c>
      <c r="E102" s="47" t="inlineStr">
        <is>
          <t>GNC</t>
        </is>
      </c>
      <c r="F102" s="47" t="inlineStr">
        <is>
          <t>Risposta a D-096 (opzione A): rallentamento ×2 fattibile. Rampa del beccheggio dentro lo slew di 60 s verso il bersaglio (nominale); tra due bersagli senza slew rampe separate con coppia pianificata ≤ 1 mN·m partendo da un assetto già inclinato in avanti (23 s a nadir, 16 s a 45° di traverso, 12 s a 45° lungo traccia). Ripresa per scena 4,2 s (scena 2,6 s + bande 1,58 s), rotazione 2,9° a nadir. Fattore di scala del giroscopio di beccheggio calibrato in volo contro lo star tracker (DR-58)</t>
        </is>
      </c>
      <c r="G102" s="47" t="inlineStr">
        <is>
          <t>B: rampe separate a 3 mN·m (bersagli senza slew a ~160 km invece di ~380 km, ma assestamento 2,1–3,2 s, 9,2 s prima del commissioning, fuori DR-08; picchi di potenza delle ruote più alti); C: rifiutare D-096 e usare 0,1 ms senza manovra (SNR diurno −30%)</t>
        </is>
      </c>
      <c r="H102" s="47" t="inlineStr">
        <is>
          <t>Simulazione 1-asse (banda 1 rad/s, 10 Hz, GY2, inerzia 0,64–1,14, stimata ±10% e nominale): coppia ≤ 1,0 mN·m (rampa nello slew), momento ≤ 0,013 N·m·s, errore in scena ≤ 0,012°, deriva in scena ≤ 0,001°/s dopo l'assestamento (0–0,65 s, 2,0 s prima del commissioning). Tempo aggiunto +2,1–2,7 s per scena (~+20 km tra bersagli): scene possibili 2,7 → 2,6 al giorno, passaggi con 4 scene 44% → 33%, giorni con ≥ 4 scene 40% → 30%. Vincolo nuovo: con la rotazione a 0,77°/s e 1,58 s tra le bande il fattore di scala ammesso scende da ~2.500 a ~80 ppm (CRH03: 1.500–3.000 ppm sulla temperatura)</t>
        </is>
      </c>
      <c r="I102" s="47" t="inlineStr">
        <is>
          <t>ADCS (profilo e software di guida), commissioning e calibrazione periodica del giroscopio, pianificazione delle riprese diurne (A6: bersagli senza slew ≥ ~380 km), DR-56 (durata e rotazione, Giuseppe), DR-18, DR-08</t>
        </is>
      </c>
      <c r="J102" s="47" t="inlineStr">
        <is>
          <t>DR-56, DR-58, DR-18, DR-08, DR-05, DR-15</t>
        </is>
      </c>
      <c r="K102" s="47" t="inlineStr">
        <is>
          <t>R-53, R-54</t>
        </is>
      </c>
      <c r="L102" s="47" t="inlineStr">
        <is>
          <t>Approvata</t>
        </is>
      </c>
      <c r="M102" s="47" t="n"/>
      <c r="N102" s="47" t="inlineStr">
        <is>
          <t>A5.4.4 (GNC) – chat del 30/10/2026; PULSE_ADCS/A5.4 (rallentamento_diurno.py)</t>
        </is>
      </c>
      <c r="O102" s="47" t="inlineStr">
        <is>
          <t>Proposta: cambia durata della ripresa (2,6 → 4,2 s) e rotazione (1,8° → 2,9°) di DR-56, valori di Giuseppe. Rampa nello slew a nadir: coppia pianificata 1,06 mN·m (6% sopra la regola di D-045; si rientra con slew di 63 s o beccheggio di partenza in avanti). Ripiego se la calibrazione non basta: riallineamento delle bande per correlazione d'immagine (DR-26, Giuseppe). Numerazione: A5.4.4 esiste già nel README di A5.4 (altri modi), da rinumerare se serve | 30/10/2026 Giuseppe: approvata. Frame e dati invariati: 42 immagini per scena (prima ~2,1 s × 20 immagini/s, ora ~4,2 s × ~10 immagini/s), stessi MB per scena, ~3,7 Gbit/s verso la scheda (DR-12, DR-13); cambia solo la durata. La correlazione tra le bande a bordo (DR-26) si usa come complemento del giroscopio, non solo come ripiego</t>
        </is>
      </c>
    </row>
    <row r="103" s="26">
      <c r="A103" s="47" t="inlineStr">
        <is>
          <t>D-102</t>
        </is>
      </c>
      <c r="B103" s="48" t="n">
        <v>46325</v>
      </c>
      <c r="C103" s="47" t="inlineStr">
        <is>
          <t>A5</t>
        </is>
      </c>
      <c r="D103" s="47" t="inlineStr">
        <is>
          <t>Giuliano</t>
        </is>
      </c>
      <c r="E103" s="47" t="inlineStr">
        <is>
          <t>Potenza</t>
        </is>
      </c>
      <c r="F103" s="47" t="inlineStr">
        <is>
          <t>Valori di progetto di luce ed eclisse per il bilancio di potenza (a): eclisse massima 36,0 min per orbita (umbra + penombra, GMAT su 2 anni), luce minima 54,5 min su un periodo di 90,56 min (15,9 orbite/giorno, ~11.600 cicli della batteria in 2 anni). Nessuna orbita senza eclisse; angolo beta sempre dello stesso segno. Passaggio diurno sull'Italia ~10–25 min dopo l'uscita dall'ombra; passaggio notturno in fondo all'eclisse (~0–15 min prima dell'uscita)</t>
        </is>
      </c>
      <c r="G103" s="47" t="inlineStr">
        <is>
          <t>b: 36,6 min dal modello Python (ombra conica, Terra sferica, senza Luna), ~2% più prudente</t>
        </is>
      </c>
      <c r="H103" s="47" t="inlineStr">
        <is>
          <t>GMAT (JGM3 4×4, Sole e Luna, eclipse locator su 11.590 eclissi) è lo strumento di riferimento del progetto; Python conferma entro ~1 min (GMAT ~50 s più corto). Il margine si mette sulla batteria e sulla potenza (D-035), non sul tempo</t>
        </is>
      </c>
      <c r="I103" s="47" t="inlineStr">
        <is>
          <t>Dimensionamento di pannelli e batteria (A5.6.5–A5.6.7), profilo orbita per orbita (A5.6.3), strategia di spinta (A5.6.4), termico del payload (durata del buio, A5.P7)</t>
        </is>
      </c>
      <c r="J103" s="47" t="n"/>
      <c r="K103" s="47" t="inlineStr">
        <is>
          <t>R-07</t>
        </is>
      </c>
      <c r="L103" s="47" t="inlineStr">
        <is>
          <t>Approvata</t>
        </is>
      </c>
      <c r="M103" s="47" t="n"/>
      <c r="N103" s="47" t="inlineStr">
        <is>
          <t>Chat del 30/10/2026 (A5.6.2); PULSE_EPS/A5.6 (luce_eclisse.py, confronto_gmat.py, gmat/)</t>
        </is>
      </c>
      <c r="O103" s="47" t="inlineStr">
        <is>
          <t>Ombra GMAT per orbita 34,7–36,0 min (media 35,5); penombra ~0,3 min. Per Giuseppe: valore del buio per l'analisi termica (A5.P7)</t>
        </is>
      </c>
    </row>
    <row r="104" s="26">
      <c r="A104" s="47" t="inlineStr">
        <is>
          <t>D-103</t>
        </is>
      </c>
      <c r="B104" s="48" t="n">
        <v>46325</v>
      </c>
      <c r="C104" s="47" t="inlineStr">
        <is>
          <t>A5</t>
        </is>
      </c>
      <c r="D104" s="47" t="inlineStr">
        <is>
          <t>Giuliano</t>
        </is>
      </c>
      <c r="E104" s="47" t="inlineStr">
        <is>
          <t>Orbita</t>
        </is>
      </c>
      <c r="F104" s="47" t="inlineStr">
        <is>
          <t>Inclinazione di iniezione 96,8° (D-012) confermata (A), con motivazione corretta: la deriva vera dell'inclinazione media non è −0,33°/anno (MDR, da EarthNext con formula semplificata) ma ~−0,05°/anno con un'oscillazione annua di ±0,15° (GMAT, Sole e Luna, 2 anni). Effetto: ora del nodo discendente da 10:30 a 9:56 in 2 anni (−34 min)</t>
        </is>
      </c>
      <c r="G104" s="47" t="inlineStr">
        <is>
          <t>B: alzare il bias per tenere l'ora vicina alle 10:30 (nuovo GMAT e nuovo requisito di lancio senza un bisogno vero); C: fissare prima una tolleranza sull'ora (rimandata ad A6 come DR-59)</t>
        </is>
      </c>
      <c r="H104" s="47" t="inlineStr">
        <is>
          <t>Con 96,8° l'ora resta tra 9:56 e 10:30 per tutta la vita: luce del mattino e ombre utili sull'Italia mantenute; lancio (A1-bis), GMAT e report già fatti restano validi</t>
        </is>
      </c>
      <c r="I104" s="47" t="inlineStr">
        <is>
          <t>D-012 (solo la motivazione), requisito di lancio di A1-bis invariato, illuminazione delle riprese diurne (ora 10:00–10:30)</t>
        </is>
      </c>
      <c r="J104" s="47" t="inlineStr">
        <is>
          <t>DR-59</t>
        </is>
      </c>
      <c r="K104" s="47" t="n"/>
      <c r="L104" s="47" t="inlineStr">
        <is>
          <t>Approvata</t>
        </is>
      </c>
      <c r="M104" s="47" t="n"/>
      <c r="N104" s="47" t="inlineStr">
        <is>
          <t>Chat del 30/10/2026 (A5.6.2); PULSE_EPS/A5.6/confronto_gmat.py</t>
        </is>
      </c>
      <c r="O104" s="47" t="inlineStr">
        <is>
          <t>Python con −0,33°/anno dava 9:01 a fine vita, con −0,030°/anno (media di Gauss del solo Sole, deriva_inclinazione.py) 11:09: il secondo sbagliava perché usava l'inclinazione eliosincrona da solo J2 (96,68° invece di ~96,70°) e non vedeva l'oscillazione annua</t>
        </is>
      </c>
    </row>
    <row r="105" s="26">
      <c r="A105" s="47" t="inlineStr">
        <is>
          <t>D-104</t>
        </is>
      </c>
      <c r="B105" s="48" t="n">
        <v>46325</v>
      </c>
      <c r="C105" s="47" t="inlineStr">
        <is>
          <t>A5</t>
        </is>
      </c>
      <c r="D105" s="47" t="inlineStr">
        <is>
          <t>Giuliano</t>
        </is>
      </c>
      <c r="E105" s="47" t="inlineStr">
        <is>
          <t>Potenza</t>
        </is>
      </c>
      <c r="F105" s="47" t="inlineStr">
        <is>
          <t>Valori provvisori per le voci di piattaforma ancora vuote del bilancio di potenza: computer di bordo 0,4 W (classe ISIS iOBC, 400 mW medi) e EPS a vuoto 0,6 W (classe GomSpace NanoPower P60 con ACU e PDU, 600 mW in attesa); rendimento di conversione a parte (A5.6.6); riscaldatori della batteria TBD fino alla scelta della batteria (A5.6.6). Motore REGULUS: 50 W d'ingresso comprensivi del riscaldamento dello iodio (il datasheet non lo dà a parte)</t>
        </is>
      </c>
      <c r="G105" s="47" t="inlineStr">
        <is>
          <t>Lasciare le voci vuote fino alla scelta dei prodotti (bilancio dei modi incompleto)</t>
        </is>
      </c>
      <c r="H105" s="47" t="inlineStr">
        <is>
          <t>Servono numeri per costruire i modi e le orbite tipo (A5.6.3); valori di prodotti di classe già in volo, sostituibili quando si sceglierà l'OBC (D-038 ancora aperta) e l'EPS</t>
        </is>
      </c>
      <c r="I105" s="47" t="inlineStr">
        <is>
          <t>Budget P-17 e P-20; tabella dei modi (base sempre accesa 12,7 W); bilancio orbita per orbita</t>
        </is>
      </c>
      <c r="J105" s="47" t="n"/>
      <c r="K105" s="47" t="inlineStr">
        <is>
          <t>R-07</t>
        </is>
      </c>
      <c r="L105" s="47" t="inlineStr">
        <is>
          <t>Provvisoria</t>
        </is>
      </c>
      <c r="M105" s="47" t="n"/>
      <c r="N105" s="47" t="inlineStr">
        <is>
          <t>Chat del 30/10/2026 (A5.6.3); PULSE_EPS/A5.6/modi_potenza.py</t>
        </is>
      </c>
      <c r="O105" s="47" t="inlineStr">
        <is>
          <t>Fonti: brochure ISIS iOBC; datasheet GomSpace NanoPower P60 ACU-200; datasheet T4i REGULUS (50 W, 20–60 W, 12 V). OBC senza responsabile (D-038): il valore resta TBC anche per chi lo prenderà | 31/10/2026 (D-121): masse e ingombri di computer di bordo e PCDU aggiunti (0,10 e 0,28 kg)</t>
        </is>
      </c>
    </row>
    <row r="106" s="26">
      <c r="A106" s="47" t="inlineStr">
        <is>
          <t>D-105</t>
        </is>
      </c>
      <c r="B106" s="48" t="n">
        <v>46325</v>
      </c>
      <c r="C106" s="47" t="inlineStr">
        <is>
          <t>A5</t>
        </is>
      </c>
      <c r="D106" s="47" t="inlineStr">
        <is>
          <t>Giuliano</t>
        </is>
      </c>
      <c r="E106" s="47" t="inlineStr">
        <is>
          <t>Propulsione</t>
        </is>
      </c>
      <c r="F106" s="47" t="inlineStr">
        <is>
          <t>Strategia di spinta per la potenza (A): motore acceso solo in luce e fermo durante la trasmissione in banda S ai contatti (oltre al divieto prima e dopo le riprese di D-074/D-099). Picco con margini ~86 W (spinta); energia chiesta alla batteria nel caso peggiore ~16 Wh per orbita (ripresa notturna in fondo all'eclisse)</t>
        </is>
      </c>
      <c r="G106" s="47" t="inlineStr">
        <is>
          <t>B: solo in luce ma contatti anche durante la spinta (picco ~110 W con margini); C: spinta anche in eclissi (batteria ~54 Wh per orbita, 3–4 volte più grande)</t>
        </is>
      </c>
      <c r="H106" s="47" t="inlineStr">
        <is>
          <t>Tempo abbondante: ~14,4 h di luce al giorno (D-102) contro 4,2–7,8 h di spinta e ~1,2 h di contatti; fermare il motore nei ~71 min di trasmissione costa poco e tiene piccoli batteria e picco</t>
        </is>
      </c>
      <c r="I106" s="47" t="inlineStr">
        <is>
          <t>Dimensionamento di pannelli e batteria (A5.6.5–A5.6.7), software di bordo (gestione motore–radio), piano operativo (R-14), discesa iniziale D-021 (motore al 50% ≈ 12 h/giorno: con la sola luce usa ~83% del tempo di luce; se non basta la discesa si allunga di qualche giorno). D-068 resta valida: per l'antenna contatti e spinta possono convivere, per la potenza si separano</t>
        </is>
      </c>
      <c r="J106" s="47" t="inlineStr">
        <is>
          <t>DR-60</t>
        </is>
      </c>
      <c r="K106" s="47" t="inlineStr">
        <is>
          <t>R-07, R-14</t>
        </is>
      </c>
      <c r="L106" s="47" t="inlineStr">
        <is>
          <t>Approvata</t>
        </is>
      </c>
      <c r="M106" s="47" t="n"/>
      <c r="N106" s="47" t="inlineStr">
        <is>
          <t>Chat del 30/10/2026 (A5.6.4); PULSE_EPS/A5.6/orbite_tipo.py</t>
        </is>
      </c>
      <c r="O106" s="47" t="inlineStr">
        <is>
          <t>Orbite tipo A5.6.3 (con margini): spinta solo in luce 89 Wh/orbita, 11 Wh al buio; spinta su tutta l'orbita 130 Wh, 52 Wh al buio; con contatto al buio picco 110 W</t>
        </is>
      </c>
    </row>
    <row r="107" s="26">
      <c r="A107" s="47" t="inlineStr">
        <is>
          <t>D-106</t>
        </is>
      </c>
      <c r="B107" s="48" t="n">
        <v>46325</v>
      </c>
      <c r="C107" s="47" t="inlineStr">
        <is>
          <t>A5</t>
        </is>
      </c>
      <c r="D107" s="47" t="inlineStr">
        <is>
          <t>Giuliano</t>
        </is>
      </c>
      <c r="E107" s="47" t="inlineStr">
        <is>
          <t>Potenza</t>
        </is>
      </c>
      <c r="F107" s="47" t="inlineStr">
        <is>
          <t>Configurazione dei pannelli (P3): ali dispiegabili fisse con la faccia attiva verso lo zenit, nel piano che contiene la velocità (di taglio rispetto al flusso), più la faccia a zenit del corpo dove libera; in attesa e in spinta rollio fisso di ~31–52° (TBC, valore ottimo che varia con le stagioni) attorno alla velocità verso il lato del Sole; per le riprese il satellite torna a nadir con gli slew già previsti. Fattore k caso peggiore 0,58: ~0,44 m² di pannello con Sole medio, ~0,56 m² con Sole alto (4,2–5,5 pannelli da 226 × 454 mm, a 270 W/m² fine vita, stima)</t>
        </is>
      </c>
      <c r="G107" s="47" t="inlineStr">
        <is>
          <t>P2: ali fisse a zenit senza rollio (k 0,44, 0,57–0,73 m²); P4: ala con motore di rotazione SADA (k 0,85, 0,29–0,38 m², ma ~70% dell'area dell'ala esposta alla velocità in luce, drag e ΔV ~3 volte); solo pannelli sul corpo (non bastano)</t>
        </is>
      </c>
      <c r="H107" s="47" t="inlineStr">
        <is>
          <t>Il rollio attorno alla velocità non cambia né l'area frontale né la direzione di spinta: ~25% di pannello in meno rispetto a P2 senza costi di drag; stessa soluzione di EarthNext (roll bias durante la spinta)</t>
        </is>
      </c>
      <c r="I107" s="47" t="inlineStr">
        <is>
          <t>Dimensionamento pannelli e batteria (A5.6.6), layout e inerzie con le ali (A5.7, D-043), ADCS: coppia di gradiente di gravità costante ~1,8·10⁻⁶ N·m a 40° (~0,010 N·m·s per orbita, scaricata dai magnetorquer; riserva DR-22 0,037), radiatori del payload (D-095: con il rollio la faccia vede di più la Terra), safe (DR-29, DR-37)</t>
        </is>
      </c>
      <c r="J107" s="47" t="inlineStr">
        <is>
          <t>DR-61, DR-29, DR-37, DR-22</t>
        </is>
      </c>
      <c r="K107" s="47" t="inlineStr">
        <is>
          <t>R-07, R-43</t>
        </is>
      </c>
      <c r="L107" s="47" t="inlineStr">
        <is>
          <t>Approvata</t>
        </is>
      </c>
      <c r="M107" s="47" t="n"/>
      <c r="N107" s="47" t="inlineStr">
        <is>
          <t>Chat del 30/10/2026 (A5.6.5); PULSE_EPS/A5.6/pannelli_config.py</t>
        </is>
      </c>
      <c r="O107" s="47" t="inlineStr">
        <is>
          <t>Proposta: cambia l'ipotesi di vista della Terra dei radiatori di Giuseppe (31% nel suo calcolo, D-095): da rifare con il rollio di 31–52°. Sole sui radiatori: mai in assetto nominale; con rollio di 45° verso il lato opposto al Sole a 64–77° dalla normale, solo durante le riprese (≤ ~8 min per passaggio diurno); in safe ≥ 75°. Safe: ali a zenit verso il Sole, telescopio a ~180° dal Sole (oltre i 52° del paraluce anche con coperchio bloccato aperto). Beta 19–32° (ora del nodo GMAT) | 30/10/2026 Giuseppe: approvata con D-107. Verifica radiatori (a5_calcoli/p7_radiatori_rollio.py, con le funzioni di PULSE_EPS/A5.6): il rollio verso il Sole inclina la faccia dei radiatori (-Y) verso lo ZENIT, non verso la Terra: vista della Terra 0,02–0,10 invece di 0,31; Sole sul radiatore ~28–31 min per orbita a 70–78° dalla normale (picco ~1 W); calore medio assorbito 26–35 W/m² invece di 70. Aree di D-095 invariate. Safe ok anche con coperchio bloccato aperto | 31/10/2026 (D-126): ali a fisarmonica 3 per lato sulle facce ±Y, cerniera sullo spigolo alto, aperte nel piano della faccia +Z lungo ±Y (~1,37 m per lato)</t>
        </is>
      </c>
    </row>
    <row r="108" s="26">
      <c r="A108" s="47" t="inlineStr">
        <is>
          <t>D-107</t>
        </is>
      </c>
      <c r="B108" s="48" t="n">
        <v>46325</v>
      </c>
      <c r="C108" s="47" t="inlineStr">
        <is>
          <t>A5</t>
        </is>
      </c>
      <c r="D108" s="47" t="inlineStr">
        <is>
          <t>Giuseppe</t>
        </is>
      </c>
      <c r="E108" s="47" t="inlineStr">
        <is>
          <t>Termico</t>
        </is>
      </c>
      <c r="F108" s="47" t="inlineStr">
        <is>
          <t>Riscaldatori di sopravvivenza per il sensore notturno e la scheda payload quando sono spenti: ~0,6 W sul sensore e ~0,4 W sulla scheda (~1 W in tutto, TBC), con termostato, per non scendere sotto −30 °C (TBC, da confermare con i limiti dei datasheet). P-23 diventa 4 / 4 / 3 / 3 / 2 W (ripresa diurna / notturna / spinta / scarico / riposo-safe)</t>
        </is>
      </c>
      <c r="G108" s="47" t="inlineStr">
        <is>
          <t>Nessun riscaldatore (da spenti ~−33 °C a nadir e ~−43 °C con il rollio di D-106: sotto il minimo tipico dell'elettronica); interruttore termico o radiatore con collegamento variabile (toglie il consumo, ma è un componente in più: da valutare in Fase B)</t>
        </is>
      </c>
      <c r="H108" s="47" t="inlineStr">
        <is>
          <t>I radiatori di D-095 restano collegati anche a sensore e scheda spenti e li raffreddano. Stima con perdita verso l'interno di 0,017 W/K (interno 20 °C): ~1 W basta per −30 °C nel caso freddo con il rollio. Nelle riprese sensore e scheda sono accesi e non serve</t>
        </is>
      </c>
      <c r="I108" s="47" t="inlineStr">
        <is>
          <t>Bilancio di potenza P-23 (Giuliano: +1 W in spinta, scarico e riposo/safe), termico del payload (D-095, D-100), modello termico di Fase B</t>
        </is>
      </c>
      <c r="J108" s="47" t="inlineStr">
        <is>
          <t>DR-55, DR-57</t>
        </is>
      </c>
      <c r="K108" s="47" t="inlineStr">
        <is>
          <t>R-55, R-51</t>
        </is>
      </c>
      <c r="L108" s="47" t="inlineStr">
        <is>
          <t>Approvata</t>
        </is>
      </c>
      <c r="M108" s="47" t="n"/>
      <c r="N108" s="47" t="inlineStr">
        <is>
          <t>Chat del 30/10/2026 (A5.P7 bis, risposta a D-106)</t>
        </is>
      </c>
      <c r="O108" s="47" t="inlineStr">
        <is>
          <t>Proposta: cambia P-23 nel bilancio di Giuliano. Calcolo in a5_calcoli/p7_radiatori_rollio.py. In Fase B si può sostituire con un interruttore termico | 30/10/2026 Giuliano: approvata. P-23 a 4/4/3/3/2 W: +1 W fisso fuori dalle riprese (~+29 Wh/giorno con i margini, ~4% del giorno di routine); effetto sulla spinta sostenibile con 6 pannelli (D-108) da verificare in A5.6.7 | 30/10/2026 Giuliano: approvata. Effetto sul bilancio (con margini): riposo da 18,9 a 20,3 W, giorno di routine da 775 a 809 Wh, Sole alto da 1016 a 1050 Wh; 6 pannelli reggono 4,9 h/giorno di spinta (prima 5,5) contro 4,2 necessarie; batteria 4S3P al 21% a fine vita, 31% con una stringa guasta</t>
        </is>
      </c>
    </row>
    <row r="109" s="26">
      <c r="A109" s="47" t="inlineStr">
        <is>
          <t>D-108</t>
        </is>
      </c>
      <c r="B109" s="48" t="n">
        <v>46325</v>
      </c>
      <c r="C109" s="47" t="inlineStr">
        <is>
          <t>A5</t>
        </is>
      </c>
      <c r="D109" s="47" t="inlineStr">
        <is>
          <t>Giuliano</t>
        </is>
      </c>
      <c r="E109" s="47" t="inlineStr">
        <is>
          <t>Potenza</t>
        </is>
      </c>
      <c r="F109" s="47" t="inlineStr">
        <is>
          <t>Pannelli dimensionati sul Sole medio (A, come D-020 e D-033): 6 ali da 226 × 454 mm con 9 celle a tripla giunzione ciascuna (classe Azur Space 3G30-Advanced), 21,6 W per pannello a Sole perpendicolare a fine vita (5·10¹⁴ e/cm², 70 °C, perdite 5%), 74,5 W medi in luce con la configurazione D-106 (k 0,575). Regge 5,5 h/giorno di spinta contro 4,2 h necessarie (+31%). Valore provvisorio, da rivedere con la data di lancio insieme a spinta e propellente</t>
        </is>
      </c>
      <c r="G109" s="47" t="inlineStr">
        <is>
          <t>B: 8 pannelli per il Sole alto (10 h/giorno di spinta, +2 pannelli da stivare); C: 7 pannelli (Sole alto senza margine, 7,7 contro 7,8 h)</t>
        </is>
      </c>
      <c r="H109" s="47" t="inlineStr">
        <is>
          <t>Con Sole alto il primo limite è il propellente (D-034, ~22 mesi): dimensionare solo la potenza sul Sole alto non salva la missione. Tutti i budget sullo stesso caso; con un lancio dal 2027 il ciclo solare scende</t>
        </is>
      </c>
      <c r="I109" s="47" t="inlineStr">
        <is>
          <t>Massa e stivaggio delle ali (A5.7: verificare anche il posto per 8 come riserva), batteria (D-109), bilancio orbita per orbita (A5.6.7), discesa iniziale (D-021: 5,5 h/giorno di spinta invece di ~12, discesa più lunga, da rifare in A6), operazioni con Sole alto</t>
        </is>
      </c>
      <c r="J109" s="47" t="inlineStr">
        <is>
          <t>DR-62</t>
        </is>
      </c>
      <c r="K109" s="47" t="inlineStr">
        <is>
          <t>R-56, R-07</t>
        </is>
      </c>
      <c r="L109" s="47" t="inlineStr">
        <is>
          <t>Provvisoria</t>
        </is>
      </c>
      <c r="M109" s="47" t="n"/>
      <c r="N109" s="47" t="inlineStr">
        <is>
          <t>Chat del 30/10/2026 (A5.6.6); PULSE_EPS/A5.6/dimensionamento_pannelli.py</t>
        </is>
      </c>
      <c r="O109" s="47" t="inlineStr">
        <is>
          <t>Datasheet Azur 3G30-Advanced (bdb_00010894-02-00): 3,08 W BOL (29,0%), 2,85 W a 5E14, dVmp/dT −7,1 mV/°C; CIC 13,1 g (118 g di celle per pannello). Impaccamento 0,68 (9 celle su 226 × 454 mm). 5E14 prudente per 2 anni a 302 km (fluenza vera in Fase B). Conti con P-23 di D-100 (2 W a riposo): D-107 di Giuseppe (+1 W, approvata) da includere in A5.6.7. Numerata D-108 perché D-107 era già usata da Giuseppe | 30/10/2026 (D-107 approvata, +1 W): spinta sostenibile con 6 pannelli 4,9 h/giorno (+17% su 4,2); Sole medio richiede 5,70 pannelli, Sole alto 7,28</t>
        </is>
      </c>
    </row>
    <row r="110" s="26">
      <c r="A110" s="47" t="inlineStr">
        <is>
          <t>D-109</t>
        </is>
      </c>
      <c r="B110" s="48" t="n">
        <v>46325</v>
      </c>
      <c r="C110" s="47" t="inlineStr">
        <is>
          <t>A5</t>
        </is>
      </c>
      <c r="D110" s="47" t="inlineStr">
        <is>
          <t>Giuliano</t>
        </is>
      </c>
      <c r="E110" s="47" t="inlineStr">
        <is>
          <t>Potenza</t>
        </is>
      </c>
      <c r="F110" s="47" t="inlineStr">
        <is>
          <t>Batteria (B): Li-ion 4S3P, 12 celle 18650 da 2,6 Ah (classe GomSpace NanoPower), 112 Wh nominali, bus non regolato 12–16,8 V come EarthNext. Profondità di scarica nel caso peggiore (ripresa notturna e contatto al buio, 18,0 Wh dalla batteria) 20% a fine vita (capacità all'80%), 30% con una stringa guasta. Autonomia in detumbling con ali chiuse ~5,3 h. La spinta si programma nella parte centrale della luce, dove le ali producono di più, così la batteria non scarica durante la spinta (verifica in A5.6.7)</t>
        </is>
      </c>
      <c r="G110" s="47" t="inlineStr">
        <is>
          <t>A: 4S2P (75 Wh, 30% a fine vita ma 60% con una stringa guasta, 3,5 h di autonomia); C: 4S4P (150 Wh, 15%/20%, 4 celle in più senza bisogno)</t>
        </is>
      </c>
      <c r="H110" s="47" t="inlineStr">
        <is>
          <t>Unica opzione che resta nella fascia di scarica usata in LEO (20–40%) anche con una stringa guasta (criterio di EarthNext); ~11.600 cicli in 2 anni, oltre i 10.000 provati dalla NASA a 20–40%</t>
        </is>
      </c>
      <c r="I110" s="47" t="inlineStr">
        <is>
          <t>Massa e volume della batteria (A5.7), termico di piattaforma (celle tiepide, ~10–25 °C indicativo TBC: temperatura interna proposta ~15–20 °C, compatibile con il telescopio, D-100), PCDU e bus (REGULUS a 12 V d'ingresso: compatibilità con 12–16,8 V da verificare con T4i), riscaldatori della batteria (P-24, TBD)</t>
        </is>
      </c>
      <c r="J110" s="47" t="inlineStr">
        <is>
          <t>DR-63</t>
        </is>
      </c>
      <c r="K110" s="47" t="inlineStr">
        <is>
          <t>R-07</t>
        </is>
      </c>
      <c r="L110" s="47" t="inlineStr">
        <is>
          <t>Approvata</t>
        </is>
      </c>
      <c r="M110" s="47" t="n"/>
      <c r="N110" s="47" t="inlineStr">
        <is>
          <t>Chat del 30/10/2026 (A5.6.6); PULSE_EPS/A5.6/dimensionamento_batteria.py</t>
        </is>
      </c>
      <c r="O110" s="47" t="inlineStr">
        <is>
          <t>Fonti: NASA, An Update on the Lithium-Ion Cell LEO Verification Test Program (20/30/40% DoD, &gt; 10.000 cicli); RF Essentials (LEO 20–40% DoD); AAU (GomSpace 18650 2,6 Ah). Rendimento batteria→carichi 0,90 e perdita di capacità 20% a fine vita: stime TBC. Termico di piattaforma ancora senza responsabile (D-038) | 30/10/2026 (D-107 approvata, +1 W): caso peggiore al buio 16,9 Wh ai carichi (18,8 dalla batteria): scarica 21% a fine vita, 31% con una stringa guasta (ancora nella fascia LEO 20–40%); autonomia in detumbling ~4,8 h | 30/10/2026 (A5.6.7): simulazione conferma 20,4% e 30,7%; DR-63 riscritto con D-111</t>
        </is>
      </c>
    </row>
    <row r="111" s="26">
      <c r="A111" s="47" t="inlineStr">
        <is>
          <t>D-110</t>
        </is>
      </c>
      <c r="B111" s="48" t="n">
        <v>46325</v>
      </c>
      <c r="C111" s="47" t="inlineStr">
        <is>
          <t>A5</t>
        </is>
      </c>
      <c r="D111" s="47" t="inlineStr">
        <is>
          <t>Giuseppe</t>
        </is>
      </c>
      <c r="E111" s="47" t="inlineStr">
        <is>
          <t>Termico</t>
        </is>
      </c>
      <c r="F111" s="47" t="inlineStr">
        <is>
          <t>Responsabile del termico di piattaforma (chiude D-038 per la voce termico): Giuseppe segue il termico di tutto il satellite con un modello unico (payload + piattaforma). Giuliano fornisce per i suoi componenti (batteria, motore REGULUS, ruote, computer di bordo, EPS, radio) potenze dissipate per modo, posizioni nel layout e limiti di temperatura. Temperatura interna di progetto ~15–20 °C (TBC, proposta di Giuliano, coerente con la regolazione del telescopio di D-100)</t>
        </is>
      </c>
      <c r="G111" s="47" t="inlineStr">
        <is>
          <t>B: Giuliano responsabile del termico di piattaforma e Giuseppe del solo payload, con interfaccia la temperatura interna (due modelli per un sistema unico; carico di lavoro di Giuliano già alto); C: rimandare alla Fase B (resta un responsabile mancante alla PRR)</t>
        </is>
      </c>
      <c r="H111" s="47" t="inlineStr">
        <is>
          <t>Il termico è un sistema unico: la parte più sensibile è il telescopio (fuoco entro ±11 K, DR-57) e il calore del motore e della batteria lo influenza (D-099). Giuseppe ha già metodo e script (radiatori, riscaldatori, a5_calcoli/p7_*.py) e la parte payload di A5 è chiusa</t>
        </is>
      </c>
      <c r="I111" s="47" t="inlineStr">
        <is>
          <t>Budget M-24 e P-24 (responsabile Giuseppe), riscaldatori della batteria (D-104, valore dal modello termico), layout A5.7 (posizioni e collegamenti termici), A6 (rischi termici), Fase B (modello termico completo)</t>
        </is>
      </c>
      <c r="J111" s="47" t="inlineStr">
        <is>
          <t>DR-57, DR-64</t>
        </is>
      </c>
      <c r="K111" s="47" t="inlineStr">
        <is>
          <t>R-24, R-55</t>
        </is>
      </c>
      <c r="L111" s="47" t="inlineStr">
        <is>
          <t>Approvata</t>
        </is>
      </c>
      <c r="M111" s="47" t="n"/>
      <c r="N111" s="47" t="inlineStr">
        <is>
          <t>Chat del 30/10/2026 (dopo A5.P8)</t>
        </is>
      </c>
      <c r="O111" s="47" t="inlineStr">
        <is>
          <t>Proposta: cambia le responsabilità di D-028/D-038 e riguarda i componenti di Giuliano. Restano aperti in D-038: struttura e meccanismi, computer di bordo, cablaggi | 30/10/2026 Giuliano: approvata. Dati di Giuliano per il modello termico (potenza dissipata per modo e limiti di temperatura) nel report A5.6 (A5.6.8); posizioni in A5.7</t>
        </is>
      </c>
    </row>
    <row r="112" s="26">
      <c r="A112" s="47" t="inlineStr">
        <is>
          <t>D-111</t>
        </is>
      </c>
      <c r="B112" s="48" t="n">
        <v>46325</v>
      </c>
      <c r="C112" s="47" t="inlineStr">
        <is>
          <t>A5</t>
        </is>
      </c>
      <c r="D112" s="47" t="inlineStr">
        <is>
          <t>Giuliano</t>
        </is>
      </c>
      <c r="E112" s="47" t="inlineStr">
        <is>
          <t>Potenza</t>
        </is>
      </c>
      <c r="F112" s="47" t="inlineStr">
        <is>
          <t>Valore di DR-63 riscritto (a): profondità di scarica della batteria ≤ 25% a fine vita e ≤ 35% con una stringa guasta. La simulazione dello stato di carica (A5.6.7, giorno peggiore, fine vita, carichi con margini) dà 20,4% e 30,7%; batteria 4S3P invariata (D-109)</t>
        </is>
      </c>
      <c r="G112" s="47" t="inlineStr">
        <is>
          <t>b: batteria 4S4P (21% con una stringa guasta, +4 celle per un caso di guasto); c: tenere 30% e spegnere carichi in caso di guasto (regola in più)</t>
        </is>
      </c>
      <c r="H112" s="47" t="inlineStr">
        <is>
          <t>Il 30% era un valore tondo scelto da noi (TBC), non un limite fisico; 35% resta nella fascia LEO 20–40% e nelle prove NASA (fino al 40%, oltre 10.000 cicli)</t>
        </is>
      </c>
      <c r="I112" s="47" t="inlineStr">
        <is>
          <t>DR-63, invecchiamento della batteria in caso di guasto (un po' più rapido), prova di cicli in Fase C</t>
        </is>
      </c>
      <c r="J112" s="47" t="inlineStr">
        <is>
          <t>DR-63</t>
        </is>
      </c>
      <c r="K112" s="47" t="inlineStr">
        <is>
          <t>R-07</t>
        </is>
      </c>
      <c r="L112" s="47" t="inlineStr">
        <is>
          <t>Approvata</t>
        </is>
      </c>
      <c r="M112" s="47" t="n"/>
      <c r="N112" s="47" t="inlineStr">
        <is>
          <t>Chat del 30/10/2026 (A5.6.7); PULSE_EPS/A5.6/simulazione_soc.py</t>
        </is>
      </c>
      <c r="O112" s="47" t="inlineStr">
        <is>
          <t>Simulazione: 3 giorni, passo 20 s, giorno 150 (fine maggio 2026, rollio 32°, k 0,573), 6 ali a fine vita, batteria all'80% (89,8 Wh; 59,9 Wh con 2 stringhe). Routine: SoC minimo 79,6%, avanzo 136 Wh/giorno; emergenza 79,6%; stringa guasta 69,3%; safe 84,0%. Numerata D-111 perché D-110 era già usata da Giuseppe</t>
        </is>
      </c>
    </row>
    <row r="113" s="26">
      <c r="A113" s="47" t="inlineStr">
        <is>
          <t>D-112</t>
        </is>
      </c>
      <c r="B113" s="48" t="n">
        <v>46325</v>
      </c>
      <c r="C113" s="47" t="inlineStr">
        <is>
          <t>A5</t>
        </is>
      </c>
      <c r="D113" s="47" t="inlineStr">
        <is>
          <t>Giuliano</t>
        </is>
      </c>
      <c r="E113" s="47" t="inlineStr">
        <is>
          <t>Potenza</t>
        </is>
      </c>
      <c r="F113" s="47" t="inlineStr">
        <is>
          <t>Regola di bordo per proteggere la batteria (A): il motore parte solo se lo stato di carica è ≥ 90% e si spegne se scende sotto l'80%; la spinta programmata che non parte si recupera nelle orbite successive. Gestione a più livelli (sotto il 70% stop alle riprese, sotto il 50% safe, valori TBD) come requisito per la Fase C (C)</t>
        </is>
      </c>
      <c r="G113" s="47" t="inlineStr">
        <is>
          <t>B: nessuna regola automatica, pianificazione solo da terra (un errore può svuotare la batteria); C subito: regola completa a più livelli (rimandata alla Fase C, FDIR)</t>
        </is>
      </c>
      <c r="H113" s="47" t="inlineStr">
        <is>
          <t>Con Sole alto e 7,8 h di spinta programmate la batteria si svuota in meno di un giorno (deficit ~109 Wh/giorno); con la regola la spinta si riduce da sola a ~5,6 h/giorno, SoC minimo 73%. In routine la regola non toglie spinta (4,2 h, SoC minimo 79,6%: le scariche sono al buio, la spinta a metà luce a batteria quasi piena)</t>
        </is>
      </c>
      <c r="I113" s="47" t="inlineStr">
        <is>
          <t>Software di bordo (gestione motore e batteria), FDIR (Fase C), operazioni con Sole alto (R-56: quota mantenuta solo in parte), piano di spinta</t>
        </is>
      </c>
      <c r="J113" s="47" t="inlineStr">
        <is>
          <t>DR-65, DR-66</t>
        </is>
      </c>
      <c r="K113" s="47" t="inlineStr">
        <is>
          <t>R-56, R-07</t>
        </is>
      </c>
      <c r="L113" s="47" t="inlineStr">
        <is>
          <t>Approvata</t>
        </is>
      </c>
      <c r="M113" s="47" t="n"/>
      <c r="N113" s="47" t="inlineStr">
        <is>
          <t>Chat del 30/10/2026 (A5.6.7); PULSE_EPS/A5.6/simulazione_soc.py</t>
        </is>
      </c>
      <c r="O113" s="47" t="inlineStr">
        <is>
          <t>Valori 90/80% sopra il minimo della routine (79,6% al buio, quando il motore è comunque spento per D-105)</t>
        </is>
      </c>
    </row>
    <row r="114" s="26">
      <c r="A114" s="47" t="inlineStr">
        <is>
          <t>D-113</t>
        </is>
      </c>
      <c r="B114" s="48" t="n">
        <v>46325</v>
      </c>
      <c r="C114" s="47" t="inlineStr">
        <is>
          <t>A5</t>
        </is>
      </c>
      <c r="D114" s="47" t="inlineStr">
        <is>
          <t>Giuliano</t>
        </is>
      </c>
      <c r="E114" s="47" t="inlineStr">
        <is>
          <t>Gestione</t>
        </is>
      </c>
      <c r="F114" s="47" t="inlineStr">
        <is>
          <t>Responsabili delle voci di piattaforma rimaste aperte in D-038 (R1): struttura e meccanismi (telaio, apertura delle ali, sganci), computer di bordo di piattaforma e cablaggi a Giuliano. L'interfaccia tra computer di bordo e scheda payload (comandi, coda dati D-092) resta in comune con Giuseppe. Con D-087 (EPS) e D-110 (termico) chiude D-038</t>
        </is>
      </c>
      <c r="G114" s="47" t="inlineStr">
        <is>
          <t>R2: computer di bordo a Giuseppe e cablaggi in comune (Giuseppe segue già il termico di tutto il satellite, D-110); R3: computer di bordo diviso, hardware a Giuliano e software/dati a Giuseppe (una voce con due responsabili)</t>
        </is>
      </c>
      <c r="H114" s="47" t="inlineStr">
        <is>
          <t>In Fase A struttura, meccanismi e cablaggi sono scelte geometriche che stanno dentro il layout (A5.7, Giuliano); i cablaggi sono una quota del 5% della massa (D-035); il computer di bordo fa girare ADCS, FDIR e gestione della spinta e ha già un valore provvisorio scelto da Giuliano (D-104)</t>
        </is>
      </c>
      <c r="I114" s="47" t="inlineStr">
        <is>
          <t>D-028, D-038; file dei budget (responsabile di M-17, M-21, M-22, M-25, P-17, P-21, P-22, V-06); A5.7.2 (lista componenti); Fase B (interfaccia computer di bordo – scheda payload)</t>
        </is>
      </c>
      <c r="J114" s="47" t="inlineStr">
        <is>
          <t>DR-14</t>
        </is>
      </c>
      <c r="K114" s="47" t="n"/>
      <c r="L114" s="47" t="inlineStr">
        <is>
          <t>Approvata</t>
        </is>
      </c>
      <c r="M114" s="47" t="n"/>
      <c r="N114" s="47" t="inlineStr">
        <is>
          <t>Chat del 30/10/2026 (A5.7.1)</t>
        </is>
      </c>
      <c r="O114" s="47" t="inlineStr">
        <is>
          <t>Proposta: cambia la divisione del lavoro in comune (D-028/D-038), da approvare da Giuseppe. Nel file dei budget i responsabili restano TBC fino all'approvazione | 31/10/2026 Giuseppe: approvata</t>
        </is>
      </c>
    </row>
    <row r="115" s="26">
      <c r="A115" s="47" t="inlineStr">
        <is>
          <t>D-114</t>
        </is>
      </c>
      <c r="B115" s="48" t="n">
        <v>46325</v>
      </c>
      <c r="C115" s="47" t="inlineStr">
        <is>
          <t>A5</t>
        </is>
      </c>
      <c r="D115" s="47" t="inlineStr">
        <is>
          <t>Giuliano</t>
        </is>
      </c>
      <c r="E115" s="47" t="inlineStr">
        <is>
          <t>Struttura</t>
        </is>
      </c>
      <c r="F115" s="47" t="inlineStr">
        <is>
          <t>Sistema di riferimento del satellite (S2) per layout, baricentro e inerzie: origine nel centro geometrico dell'involucro tra i binari (226,3 × 226,3 × 454 mm); +X verso la velocità (direzione di spinta, ugello della REGULUS sulla faccia −X); +Y normale all'orbita verso il lato del Sole (β &gt; 0; faccia −Y dei radiatori, D-095); +Z verso lo zenit lungo l'asse lungo (il telescopio guarda verso −Z). In assetto nominale coincide con il riferimento orbitale di A5.6. Conversione dai dati del payload: Z = Z dalla faccia a nadir − 227 mm, X e Y invariati</t>
        </is>
      </c>
      <c r="G115" s="47" t="inlineStr">
        <is>
          <t>S1: origine al centro della faccia a nadir, come il CSV del payload (ogni verifica di DR-14 da convertire); S3: centro geometrico con +Z nadir e +Y dal lato opposto al Sole, come A5.3 (inverte i segni di Y e Z rispetto ad A5.6 e al payload)</t>
        </is>
      </c>
      <c r="H115" s="47" t="inlineStr">
        <is>
          <t>DR-14 (limiti del deployer rispetto al centro geometrico) e D-047 si verificano direttamente; inerzie già attorno al centro; assi uguali a quelli di A5.6 e del payload di Giuseppe, quindi nessun cambio di segno</t>
        </is>
      </c>
      <c r="I115" s="47" t="inlineStr">
        <is>
          <t>A5.7.4–A5.7.8 (layout, baricentro, inerzie); dati del payload (PULSE_payload_masse_posizioni.csv: baricentro del payload a Z +49,5 mm, Y −28,9 mm); simulazione a 3 assi della Fase B (A5.3 usava Z a nadir, modello a un asse: nessun numero da rifare)</t>
        </is>
      </c>
      <c r="J115" s="47" t="inlineStr">
        <is>
          <t>DR-14, DR-21</t>
        </is>
      </c>
      <c r="K115" s="47" t="inlineStr">
        <is>
          <t>R-26</t>
        </is>
      </c>
      <c r="L115" s="47" t="inlineStr">
        <is>
          <t>Approvata</t>
        </is>
      </c>
      <c r="M115" s="47" t="n"/>
      <c r="N115" s="47" t="inlineStr">
        <is>
          <t>Chat del 30/10/2026 (A5.7.1)</t>
        </is>
      </c>
      <c r="O115" s="47" t="inlineStr">
        <is>
          <t>Proposta: cambia l'origine (non i valori) dei dati di Giuseppe. Le facce si chiamano ±X, ±Y, ±Z. Il collegamento con il riferimento del deployer si fa in Fase B con la scelta del lancio (LR-01) | 31/10/2026 Giuseppe: approvata</t>
        </is>
      </c>
    </row>
    <row r="116" s="26">
      <c r="A116" s="47" t="inlineStr">
        <is>
          <t>D-115</t>
        </is>
      </c>
      <c r="B116" s="48" t="n">
        <v>46325</v>
      </c>
      <c r="C116" s="47" t="inlineStr">
        <is>
          <t>A5</t>
        </is>
      </c>
      <c r="D116" s="47" t="inlineStr">
        <is>
          <t>Giuseppe</t>
        </is>
      </c>
      <c r="E116" s="47" t="inlineStr">
        <is>
          <t>Termico</t>
        </is>
      </c>
      <c r="F116" s="47" t="inlineStr">
        <is>
          <t>Casi di progetto del termico del satellite (A5.8.1). Caldo: gennaio, Sole 1414 W/m², albedo 0,35, IR Terra 261 W/m², eclisse 34,7 min, vernici a fine vita (α 0,35), 22 min di spinta in ogni orbita (verifica a 29 min), riprese e scarichi, rollio 31–52°. Freddo operativo: giugno-luglio, Sole 1322 W/m², albedo 0,18, IR 218 W/m², eclisse 36,0 min, vernici nuove (α 0,20), giorno senza spinta (attesa). Freddo safe: safe per più giorni, ali verso il Sole. Detumbling con ali chiuse ≤ ~4,8 h (caso particolare). Calore del REGULUS che entra nel satellite: 15 W in spinta (8–20 W, TBC), con verifica a 48,5 W</t>
        </is>
      </c>
      <c r="G116" s="47" t="inlineStr">
        <is>
          <t>Calore del motore: 48,5 W tutti dentro il satellite (radiatore quasi doppio, più riscaldatori al freddo); 20 W (limite alto della stima). Caso caldo: spinta in ogni periodo di luce o 7,8 h di fila (superati dal profilo di A5.6.7, spinta distribuita su tutte le orbite)</t>
        </is>
      </c>
      <c r="H116" s="47" t="inlineStr">
        <is>
          <t>Il REGULUS produce ~48,5 W di calore (rendimento di spinta 3%), ma la parte calda (~355 °C) lo smaltisce nello spazio con un radiatore sulla faccia dell'ugello a ~275 °C (Bellomo et al., CEAS Space J. 2022): 29–40 W stimati; al satellite passa la parte fredda (elettronica, linea dello iodio). Profilo di spinta e casi freddi da Giuliano (A5.6.7, chat del 30/10/2026). Albedo e IR: valori tipici per orbite molto inclinate (Gilmore), TBC</t>
        </is>
      </c>
      <c r="I116" s="47" t="inlineStr">
        <is>
          <t>Dimensionamento del radiatore di piattaforma e dei riscaldatori (A5.8.3–A5.8.4), budget P-24 e M-24, verifica in A5.7.1 di Giuliano (W dall'attacco del REGULUS, ugello su −X, preriscaldamento e raffreddamento)</t>
        </is>
      </c>
      <c r="J116" s="47" t="inlineStr">
        <is>
          <t>DR-64, DR-57</t>
        </is>
      </c>
      <c r="K116" s="47" t="inlineStr">
        <is>
          <t>R-57</t>
        </is>
      </c>
      <c r="L116" s="47" t="inlineStr">
        <is>
          <t>Approvata</t>
        </is>
      </c>
      <c r="M116" s="47" t="n"/>
      <c r="N116" s="47" t="inlineStr">
        <is>
          <t>Chat del 30/10/2026 (A5.8.1); a5_8_termico/a5_8_1_ingressi.py</t>
        </is>
      </c>
      <c r="O116" s="47" t="inlineStr">
        <is>
          <t>Valore del motore concordato con Giuliano (resta TBC fino ad A5.7.1). Calore all'interno per modo con motore 15 W: attesa 21,4; ripresa diurna 26,4; notturna 21,4; spinta 39,4; scarico 35,1; safe 24,4; detumbling 19,4 W (con perdite EPS e batteria di A5.6.7) | 31/10/2026 (A5.7.3, D-117): W dall'attacco del REGULUS non pubblicati, 15 W restano TBC; attacco 73–75 °C con satellite a +70 °C; ugello e radiatore del motore sulla faccia −X; ambiente richiesto −25/+70 °C; PSH/PSC esistono (EarthNext) ma senza durate e potenze pubbliche (R-59). L'articolo di Bellomo et al. è del 2021</t>
        </is>
      </c>
    </row>
    <row r="117" s="26">
      <c r="A117" s="47" t="inlineStr">
        <is>
          <t>D-116</t>
        </is>
      </c>
      <c r="B117" s="48" t="n">
        <v>46325</v>
      </c>
      <c r="C117" s="47" t="inlineStr">
        <is>
          <t>A5</t>
        </is>
      </c>
      <c r="D117" s="47" t="inlineStr">
        <is>
          <t>Giuseppe</t>
        </is>
      </c>
      <c r="E117" s="47" t="inlineStr">
        <is>
          <t>Termico</t>
        </is>
      </c>
      <c r="F117" s="47" t="inlineStr">
        <is>
          <t>Architettura termica della piattaforma (A2): corpo coperto da coperte isolanti (MLI), radiatore fisso con vernice bianca sulla faccia −Y (~810 cm², ~970 con +20% di calore, TBC, accanto ai radiatori del payload di D-095), riscaldatori con termostato (batteria e interno). Interno ammesso 15–25 °C (DR-64 allargato da 15–20). Radiatore a persiane (louver) come riserva se l'energia dei riscaldatori non chiude il bilancio (A5.8.4)</t>
        </is>
      </c>
      <c r="G117" s="47" t="inlineStr">
        <is>
          <t>A: stessa architettura con interno 15–20 °C (radiatore ~890/1070 cm², non entra sulla sola −Y con il margine; riscaldatori ~7 W in un giorno di routine d'estate, ~180 Wh/giorno, oltre l'avanzo di 136 Wh/giorno di D-111). B: radiatore a persiane (~1080 cm², riscaldatori ~0 W, +0,3 kg, poche prove su CubeSat). C: pareti che irradiano senza MLI (escursione interna ~32 K, non rispetta DR-64)</t>
        </is>
      </c>
      <c r="H117" s="47" t="inlineStr">
        <is>
          <t>Soluzione più collaudata; +5 K in alto costano poco (batteria in carica fino a +45 °C; telescopio regolato a ~20 °C ± 11 K, DR-57) e riducono area e riscaldatori (stima di primo ordine a un nodo: routine d'estate ~5 W, ~120 Wh/giorno; giorno senza spinta ~11 W; safe ~9 W). La −Y è l'unica faccia buona: +Y vede il Sole, +Z ha celle e star tracker, +X ha l'ossigeno atomico, −X il radiatore caldo dell'ugello</t>
        </is>
      </c>
      <c r="I117" s="47" t="inlineStr">
        <is>
          <t>Bilancio di potenza (P-24, Giuliano: energia dei riscaldatori contro l'avanzo di D-111), layout A5.7 (area libera sulla −Y ~837 cm²; eventuale parte su −X), batteria (D-109: 15–25 °C), telescopio (D-100), budget M-24</t>
        </is>
      </c>
      <c r="J117" s="47" t="inlineStr">
        <is>
          <t>DR-64, DR-57, DR-68</t>
        </is>
      </c>
      <c r="K117" s="47" t="inlineStr">
        <is>
          <t>R-58, R-57</t>
        </is>
      </c>
      <c r="L117" s="47" t="inlineStr">
        <is>
          <t>Approvata</t>
        </is>
      </c>
      <c r="M117" s="47" t="n"/>
      <c r="N117" s="47" t="inlineStr">
        <is>
          <t>Chat del 30/10/2026 (A5.8.2); a5_8_termico/a5_8_2_architettura.py</t>
        </is>
      </c>
      <c r="O117" s="47" t="inlineStr">
        <is>
          <t>Proposta: cambia DR-64 (valore proposto da Giuliano) e porta P-24 nel suo bilancio di potenza. Numeri da affinare con il modello a nodi (A5.8.3): nel caso freddo vernici nuove anche a fine vita (prudente) | 31/10/2026 Giuliano: approvata (A) con un tetto di potenza: riscaldatori di piattaforma ≤ 4 W medi al bus, margini compresi (≈ 2,8 W nominali), nel giorno peggiore di routine (DR-68). Verifica sul modello A5.6.7 con la regola D-112 (PULSE_Layout/A5.7/riscaldatori_potenza.py): spinta sostenibile 4,4 h con 4 W, 4,3 h con 4,4 W (limite), 4,0 h con 5 W e 3,0 h con 7,2 W (5 W con margini), contro 4,2 h necessarie. L'avanzo di 136 Wh/giorno (D-111) non è usabile tutto: è energia in luce a batteria piena, i riscaldatori lavorano anche al buio. Casi freddi ok (senza spinta 11 W: SoC min 66%; safe 9 W: 76%). Se A5.8.3 non sta nel tetto: radiatore a persiane. Layout: −Y libera ~837 cm² (basta per 810, non per 970); su −X ugello e radiatore del REGULUS al centro (D-118): eventuale parte di radiatore lontano da lì; ali chiuse né su −Y né al centro di −X (A5.7.5)</t>
        </is>
      </c>
    </row>
    <row r="118" s="26">
      <c r="A118" s="47" t="inlineStr">
        <is>
          <t>D-117</t>
        </is>
      </c>
      <c r="B118" s="48" t="n">
        <v>46326</v>
      </c>
      <c r="C118" s="47" t="inlineStr">
        <is>
          <t>A5</t>
        </is>
      </c>
      <c r="D118" s="47" t="inlineStr">
        <is>
          <t>Giuliano</t>
        </is>
      </c>
      <c r="E118" s="47" t="inlineStr">
        <is>
          <t>Propulsione</t>
        </is>
      </c>
      <c r="F118" s="47" t="inlineStr">
        <is>
          <t>Modello di riferimento della REGULUS-50-I2 Large per layout e termico (M2): due blocchi separati collegati dalla linea dello iodio, (1) motore + elettronica con ugello e radiatore sulla stessa faccia, (2) serbatoio dello iodio; sezione ~94 × 95 mm come la famiglia REGULUS, 2,2U e ~6 kg in tutto; profondità dei due blocchi TBC (ICD T4i). Iodio a bordo 2,04 kg (11.000 N·s / 550 s). Dati termici pubblici: caso caldo con satellite a +70 °C camera 351–355 °C, radiatore 273–279 °C, elettronica 87–90 °C (limite 85 °C), linea dello iodio 84–92 °C (~95 °C in funzione, &lt; 115 °C), attacco 73–75 °C; ambiente richiesto attorno all'unità −25/+70 °C (prova −40/+80 °C). W che passano dall'attacco e durate/potenze di preriscaldamento e raffreddamento (PSH/PSC/PSTM) non pubblicati</t>
        </is>
      </c>
      <c r="G118" s="47" t="inlineStr">
        <is>
          <t>M1: blocco unico 93,8 × 95 × 250 mm (valore prudente di V-01: forma sbagliata, impedisce di mettere il serbatoio vicino alla linea di spinta); M3: fermarsi fino all'ICD di T4i (blocca A5.7.4 e il termico A5.8)</t>
        </is>
      </c>
      <c r="H118" s="47" t="inlineStr">
        <is>
          <t>La foto e la tabella di EarthNext (Fig. 7, Tab. 3: stessa unità) mostrano due blocchi; il datasheet T4i dà 93,8 × 95 × 151 mm e 2,5 kg solo per la versione da 3.000 N·s; i dati termici vengono da Bellomo et al. (CEAS Space J., 2021). Due blocchi permettono di separare il motore (vincolato alla faccia −X e alla linea di spinta) dal serbatoio (che sposta il baricentro con il consumo)</t>
        </is>
      </c>
      <c r="I118" s="47" t="inlineStr">
        <is>
          <t>V-01 (budget di volume), layout A5.7.4 (blocco motore su −X, serbatoio vicino alla linea di spinta, DR-67), baricentro A5.7.7, termico (D-115, R-57: ugello e radiatore su −X, 15 W dall'attacco restano TBC), bilancio di potenza se PSH/PSC pesano (R-59), richiesta ICD a T4i</t>
        </is>
      </c>
      <c r="J118" s="47" t="inlineStr">
        <is>
          <t>DR-21, DR-67</t>
        </is>
      </c>
      <c r="K118" s="47" t="inlineStr">
        <is>
          <t>R-57, R-59</t>
        </is>
      </c>
      <c r="L118" s="47" t="inlineStr">
        <is>
          <t>Approvata</t>
        </is>
      </c>
      <c r="M118" s="47" t="n"/>
      <c r="N118" s="47" t="inlineStr">
        <is>
          <t>Chat del 31/10/2026 (A5.7.3); PULSE_Layout/A5.7/regulus_vincoli.py; t4innovation.com (REGULUS-50-I2); Bellomo et al., CEAS Space J. 2021, doi 10.1007/s12567-021-00374-4; EarthNext §3.2, §4.1</t>
        </is>
      </c>
      <c r="O118" s="47" t="inlineStr">
        <is>
          <t>Riguarda solo la parte di Giuliano (propulsione); al termico di Giuseppe passano solo dati (nessun suo valore cambia). Da chiedere a T4i: profondità dei due blocchi, posizione dell'attacco, W e temperatura all'attacco, PSH/PSC/PSTM (durata e potenza), accensioni brevi ripetute (16 al giorno da ~17 min)</t>
        </is>
      </c>
    </row>
    <row r="119" s="26">
      <c r="A119" s="47" t="inlineStr">
        <is>
          <t>D-118</t>
        </is>
      </c>
      <c r="B119" s="48" t="n">
        <v>46326</v>
      </c>
      <c r="C119" s="47" t="inlineStr">
        <is>
          <t>A5</t>
        </is>
      </c>
      <c r="D119" s="47" t="inlineStr">
        <is>
          <t>Giuliano</t>
        </is>
      </c>
      <c r="E119" s="47" t="inlineStr">
        <is>
          <t>Struttura</t>
        </is>
      </c>
      <c r="F119" s="47" t="inlineStr">
        <is>
          <t>Posizione del telescopio (P1): colonna 140 × 140 mm nell'angolo +X/−Y della faccia a nadir (asse a X +43 mm, Y −43 mm nel sistema D-114) invece che centrata in X (D-078). Tra la faccia −X e il telescopio resta una fetta di ~86 mm (~126 mm con la sporgenza di 39,5 mm; pareti e telaio esclusi, TBC) per il blocco motore della REGULUS con l'ugello al centro della faccia −X; serbatoio dello iodio nella zona +Y entro ~70 mm dalla linea di spinta (DR-67). La scheda payload (D-091) segue i sensori in X. Sulla faccia a nadir la parte libera diventa a L (striscia +Y come oggi + striscia −X); patch S a nadir (D-080) invariata</t>
        </is>
      </c>
      <c r="G119" s="47" t="inlineStr">
        <is>
          <t>P2: telescopio fermo e motore sporgente da −X (entra solo con blocco motore ≤ ~80 mm di profondità; sporgenza in conflitto con ali e radiatori); P3: asse lungo lungo la velocità come EarthNext (rifà D-043, A5.3–A5.6 e l'ottica); P4: altro motore (riapre D-034 e il ΔV)</t>
        </is>
      </c>
      <c r="H119" s="47" t="inlineStr">
        <is>
          <t>Con il telescopio centrato in X il centro del satellite (e quindi il baricentro, D-047 ≤ 10 mm dalla linea di spinta) cade dentro la colonna: tra la faccia −X e il telescopio restano 43 mm (83 con la sporgenza), troppo pochi per un blocco motore (151 mm nella versione piccola). P1 è l'unica modifica locale. Lo spostamento del baricentro del payload in X (+4,3 mm su 30 kg) non crea coppia in spinta (la spinta è lungo X) e resta dentro DR-14</t>
        </is>
      </c>
      <c r="I119" s="47" t="inlineStr">
        <is>
          <t>D-078 (Giuseppe: posizione in X del telescopio), faccia a nadir (apertura e striscia libera), scheda payload (D-091: X +43 mm), cablaggi dei sensori, baricentro e inerzie (A5.7.7–A5.7.8), termico del telescopio (più vicino alla faccia +X); radiatori su −Y (D-095, D-116) invariati</t>
        </is>
      </c>
      <c r="J119" s="47" t="inlineStr">
        <is>
          <t>DR-14, DR-21, DR-67</t>
        </is>
      </c>
      <c r="K119" s="47" t="inlineStr">
        <is>
          <t>R-26, R-01</t>
        </is>
      </c>
      <c r="L119" s="47" t="inlineStr">
        <is>
          <t>Approvata</t>
        </is>
      </c>
      <c r="M119" s="47" t="n"/>
      <c r="N119" s="47" t="inlineStr">
        <is>
          <t>Chat del 31/10/2026 (A5.7.3); PULSE_Layout/A5.7/regulus_vincoli.py</t>
        </is>
      </c>
      <c r="O119" s="47" t="inlineStr">
        <is>
          <t>Proposta: cambia D-078 di Giuseppe. Se il blocco motore della Large è più profondo di ~126 mm (ICD T4i) non basta: si passa a P4. Con l'approvazione D-078 diventa Superata da D-118 | 31/10/2026 Giuseppe: approvata | 31/10/2026 (D-124): il serbatoio va sotto il blocco motore a ~100 mm dalla linea di spinta, non nella zona +Y entro 70 mm (due blocchi da ~94 mm non entrano altrimenti); DR-67 riscritto sul baricentro</t>
        </is>
      </c>
    </row>
    <row r="120" s="26">
      <c r="A120" s="47" t="inlineStr">
        <is>
          <t>D-119</t>
        </is>
      </c>
      <c r="B120" s="48" t="n">
        <v>46326</v>
      </c>
      <c r="C120" s="47" t="inlineStr">
        <is>
          <t>A5</t>
        </is>
      </c>
      <c r="D120" s="47" t="inlineStr">
        <is>
          <t>Giuliano</t>
        </is>
      </c>
      <c r="E120" s="47" t="inlineStr">
        <is>
          <t>Potenza</t>
        </is>
      </c>
      <c r="F120" s="47" t="inlineStr">
        <is>
          <t>Modello di massa delle ali solari (S1): ali 226 × 454 mm su substrato a circuito stampato (FR4) o alluminio come i prodotti a catalogo, ~0,55 kg per ala con celle (5,0–5,5 kg/m² × 0,103 m²), spessore ~2 mm; 6 ali 3,3 kg (8 ali 4,4 kg), margine 10%</t>
        </is>
      </c>
      <c r="G120" s="47" t="inlineStr">
        <is>
          <t>S2: sandwich alveolare con pelli in carbonio, ~0,30 kg per ala (stima dal basso, nessun prodotto CubeSat trovato), ~6 mm di spessore, meno eredità di volo e costo più alto</t>
        </is>
      </c>
      <c r="H120" s="47" t="inlineStr">
        <is>
          <t>Tecnologia con molti voli e numero prudente; pannello sottile utile per lo stivaggio nei 39,5 mm (D-036, A5.7.5); la massa non è critica (stima ~28 kg al rilascio con margini contro 32 kg, A5.7.2)</t>
        </is>
      </c>
      <c r="I120" s="47" t="inlineStr">
        <is>
          <t>Budget di massa M-18, stivaggio (A5.7.5), inerzie con ali aperte (A5.7.8), meccanismi (M-22)</t>
        </is>
      </c>
      <c r="J120" s="47" t="inlineStr">
        <is>
          <t>MR-13</t>
        </is>
      </c>
      <c r="K120" s="47" t="inlineStr">
        <is>
          <t>R-56</t>
        </is>
      </c>
      <c r="L120" s="47" t="inlineStr">
        <is>
          <t>Approvata</t>
        </is>
      </c>
      <c r="M120" s="47" t="n"/>
      <c r="N120" s="47" t="inlineStr">
        <is>
          <t>Chat del 31/10/2026 (A5.7.2); AAC Clyde Photon (3U 135 g, FR4), ISIS Solar Panels (3U 150 g, alluminio); PULSE_Layout/A5.7/componenti_piattaforma.py</t>
        </is>
      </c>
      <c r="O120" s="47" t="inlineStr">
        <is>
          <t>S2 resta riserva di massa (~1,5 kg su 6 ali) se la massa cresce in Fase B</t>
        </is>
      </c>
    </row>
    <row r="121" s="26">
      <c r="A121" s="47" t="inlineStr">
        <is>
          <t>D-120</t>
        </is>
      </c>
      <c r="B121" s="48" t="n">
        <v>46326</v>
      </c>
      <c r="C121" s="47" t="inlineStr">
        <is>
          <t>A5</t>
        </is>
      </c>
      <c r="D121" s="47" t="inlineStr">
        <is>
          <t>Giuliano</t>
        </is>
      </c>
      <c r="E121" s="47" t="inlineStr">
        <is>
          <t>Struttura</t>
        </is>
      </c>
      <c r="F121" s="47" t="inlineStr">
        <is>
          <t>Telaio di riferimento (T1): classe EnduroSat 16U, alluminio 6082, 226,3 × 226,3 × 454 mm, 2,5 kg con viti e anelli; margine 10% (catalogo modificato: attacchi per ali, motore e radiatore)</t>
        </is>
      </c>
      <c r="G121" s="47" t="inlineStr">
        <is>
          <t>T2: ISIS 16U 2,25 kg a secco (dimensioni e viteria non pubblicate); T3: telaio su misura (tutto da progettare, Fase B)</t>
        </is>
      </c>
      <c r="H121" s="47" t="inlineStr">
        <is>
          <t>Dimensioni identiche all'involucro di D-036; massa pubblicata con la viteria, quindi prudente</t>
        </is>
      </c>
      <c r="I121" s="47" t="inlineStr">
        <is>
          <t>Budget di massa M-21, layout (A5.7.4), baricentro e inerzie (A5.7.7–A5.7.8)</t>
        </is>
      </c>
      <c r="J121" s="47" t="inlineStr">
        <is>
          <t>MR-13, DR-14</t>
        </is>
      </c>
      <c r="K121" s="47" t="n"/>
      <c r="L121" s="47" t="inlineStr">
        <is>
          <t>Approvata</t>
        </is>
      </c>
      <c r="M121" s="47" t="n"/>
      <c r="N121" s="47" t="inlineStr">
        <is>
          <t>Chat del 31/10/2026 (A5.7.2); endurosat.com (16U Structure); satcatalog (ISIS 16U)</t>
        </is>
      </c>
      <c r="O121" s="47" t="inlineStr">
        <is>
          <t>Struttura a Giuliano secondo D-113 (Proposta, in attesa di Giuseppe): non cambia numeri di Giuseppe</t>
        </is>
      </c>
    </row>
    <row r="122" s="26">
      <c r="A122" s="47" t="inlineStr">
        <is>
          <t>D-121</t>
        </is>
      </c>
      <c r="B122" s="48" t="n">
        <v>46326</v>
      </c>
      <c r="C122" s="47" t="inlineStr">
        <is>
          <t>A5</t>
        </is>
      </c>
      <c r="D122" s="47" t="inlineStr">
        <is>
          <t>Giuliano</t>
        </is>
      </c>
      <c r="E122" s="47" t="inlineStr">
        <is>
          <t>Potenza</t>
        </is>
      </c>
      <c r="F122" s="47" t="inlineStr">
        <is>
          <t>Valori di riferimento di massa e ingombro per le voci di piattaforma senza scelta aperta: computer di bordo classe ISIS iOBC 0,10 kg (96 × 90 × 12,4 mm, −25/+65 °C); batteria 4S3P 0,75 kg (~93 × 86 × 62 mm, stima da GomSpace BPX); PCDU classe GomSpace P60 con 2 ACU e 2 PDU 0,28 kg (92 × 89 × 29 mm, −35/+85 °C); meccanismi delle ali ~60 g per ala (stima, TBC). Limiti di temperatura di tutti i componenti di Giuliano in PULSE_Layout/A5.7/risultati/componenti_piattaforma.csv per il termico (D-110)</t>
        </is>
      </c>
      <c r="G122" s="47" t="inlineStr">
        <is>
          <t>Batteria commerciale GomSpace BPX 4S2P 100 Wh (500 g): con una stringa guasta resta il 50% della capacità, non rispetta DR-63</t>
        </is>
      </c>
      <c r="H122" s="47" t="inlineStr">
        <is>
          <t>Stessi prodotti di classe di D-104 e D-109; valori da datasheet dove ci sono, stime dichiarate dove mancano</t>
        </is>
      </c>
      <c r="I122" s="47" t="inlineStr">
        <is>
          <t>Budget di massa (M-17, M-19, M-20, M-22) e volume (V-06, V-07), layout (A5.7.4), termico di Giuseppe (limiti di temperatura)</t>
        </is>
      </c>
      <c r="J122" s="47" t="inlineStr">
        <is>
          <t>DR-63, DR-64</t>
        </is>
      </c>
      <c r="K122" s="47" t="n"/>
      <c r="L122" s="47" t="inlineStr">
        <is>
          <t>Provvisoria</t>
        </is>
      </c>
      <c r="M122" s="47" t="n"/>
      <c r="N122" s="47" t="inlineStr">
        <is>
          <t>Chat del 31/10/2026 (A5.7.2); ISIS iOBC brochure; GomSpace P60 e BPX datasheet</t>
        </is>
      </c>
      <c r="O122" s="47" t="inlineStr">
        <is>
          <t>Provvisoria fino alla scelta dei prodotti (Fase B). Limiti più stretti: radio VHF/UHF −10/+45 °C, carica batteria 0/+45 °C, star tracker +50 °C. Computer di bordo e meccanismi a Giuliano secondo D-113 (Proposta)</t>
        </is>
      </c>
    </row>
    <row r="123" s="26">
      <c r="A123" s="47" t="inlineStr">
        <is>
          <t>D-122</t>
        </is>
      </c>
      <c r="B123" s="48" t="n">
        <v>46326</v>
      </c>
      <c r="C123" s="47" t="inlineStr">
        <is>
          <t>A5</t>
        </is>
      </c>
      <c r="D123" s="47" t="inlineStr">
        <is>
          <t>Giuseppe</t>
        </is>
      </c>
      <c r="E123" s="47" t="inlineStr">
        <is>
          <t>Termico</t>
        </is>
      </c>
      <c r="F123" s="47" t="inlineStr">
        <is>
          <t>Radiatore della piattaforma sulla faccia −Y: 600 cm² (TBC), vernice bianca (α ≤ 0,35 a fine vita, ε ≥ 0,85), collegato all'interno con ~3 W/K (≥ 2 W/K: elettronica montata sul pannello del radiatore o cinghie termiche). Riscaldatori con termostato a 15 °C sull'interno (installati ~2 × 10 W, TBC) e sulla batteria (6 W, riserva per safe e detumbling). Attacchi delle ali isolati (≤ 0,1 W/K in tutto, DR-69). Budget: P-24 = 0,7 W nelle riprese, spinta e scarico (media del giorno peggiore di routine) e 5,7 W in riposo/safe (giorno senza spinta, il caso più freddo); M-24 = 0,45 kg</t>
        </is>
      </c>
      <c r="G123" s="47" t="inlineStr">
        <is>
          <t>550 cm² (con il motore a 20 W l'interno arriva a ~27 °C, oltre DR-64); 700 cm² (riscaldatori 3,7 W nominali nella routine d'estate, oltre DR-68); 500 cm² (caldo fino a 27 °C); 810 cm² della stima a un nodo di A5.8.2 (troppo grande: l'interno resterebbe freddo)</t>
        </is>
      </c>
      <c r="H123" s="47" t="inlineStr">
        <is>
          <t>Modello a 9 nodi (A5.8.3, 4 giorni, passo 10 s, Sole e ombra da GMAT/A5.6, rollio D-106): caldo 18,8–23,6 °C (motore a 20 W: fino a 25,7 °C, appena sopra DR-64; con collegamento a 6 W/K 24,4 °C); routine d'estate 0,7 W di riscaldatori (17 Wh/giorno) contro il tetto di 2,8 W di DR-68; giorno senza spinta 5,7 W medi (137 Wh/giorno, picco 15 W) contro 11 W che chiudono; safe 0,4 W. Batteria 15–25 °C senza riscaldatore dedicato. Il calore esce anche da MLI (~2 W), ali (~3 W) e radiatori del payload (~1,6 W)</t>
        </is>
      </c>
      <c r="I123" s="47" t="inlineStr">
        <is>
          <t>Bilancio di potenza P-24 (Giuliano: sostituisce l'allocazione 2,8/9 W), budget M-24, layout A5.7 (600 cm² sulla −Y accanto ai radiatori del payload; elettronica sul pannello del radiatore), struttura (attacchi delle ali isolati, DR-69), R-58</t>
        </is>
      </c>
      <c r="J123" s="47" t="inlineStr">
        <is>
          <t>DR-64, DR-68, DR-69, DR-70</t>
        </is>
      </c>
      <c r="K123" s="47" t="inlineStr">
        <is>
          <t>R-57, R-58</t>
        </is>
      </c>
      <c r="L123" s="47" t="inlineStr">
        <is>
          <t>Approvata</t>
        </is>
      </c>
      <c r="M123" s="47" t="n"/>
      <c r="N123" s="47" t="inlineStr">
        <is>
          <t>Chat del 31/10/2026 (A5.8.4); a5_8_termico/a5_8_3_modello_nodi.py</t>
        </is>
      </c>
      <c r="O123" s="47" t="inlineStr">
        <is>
          <t>Proposta: cambia i valori di P-24 nel bilancio di Giuliano e chiede un requisito sulla struttura (DR-69). Ipotesi TBC: MLI ε* 0,04, strato esterno α 0,40; motore 15 W (D-115). Sensibilità: collegamento 6 W/K → routine 1,3 W; attacchi delle ali 0,3 W/K → routine ~6 W (fuori da DR-68) | 31/10/2026 Giuliano: approvata. Verifica sul bilancio di potenza (modello A5.6.7, regola D-112, margini ×1,44): routine 0,7 W nominali = 1,0 W al bus → spinta sostenibile 5,7 h su 4,2 (DR-68 rispettato); giorno senza spinta 5,7 W = 8,2 W al bus → SoC minimo 72%; safe 0,4 W → 84%. Layout: DR-70 (≥ 2 W/K) da chiudere in A5.7.4 (pila delle schede contro la −Y; una treccia di rame di ~25 cm da 2 W/K peserebbe ~2,8 kg)</t>
        </is>
      </c>
    </row>
    <row r="124" s="26">
      <c r="A124" s="47" t="inlineStr">
        <is>
          <t>D-123</t>
        </is>
      </c>
      <c r="B124" s="48" t="n">
        <v>46326</v>
      </c>
      <c r="C124" s="47" t="inlineStr">
        <is>
          <t>A5</t>
        </is>
      </c>
      <c r="D124" s="47" t="inlineStr">
        <is>
          <t>Giuliano</t>
        </is>
      </c>
      <c r="E124" s="47" t="inlineStr">
        <is>
          <t>GNC</t>
        </is>
      </c>
      <c r="F124" s="47" t="inlineStr">
        <is>
          <t>Paraluce degli star tracker (P1): paraluce corto (ST-16RT2, 62 × 56 × 68 mm, 185 g per testa), teste verso +Z montate nella L accanto al telescopio (una nella fetta −X, una nella fetta +Y), non nei ~44 mm sopra il telescopio</t>
        </is>
      </c>
      <c r="G124" s="47" t="inlineStr">
        <is>
          <t>P2: paraluce grande (Ø 99 × 120 mm, 235 g) inclinato e sporgente dalla faccia +Z (sporgenza sulla faccia della porta del deployer non verificata, toglie spazio ad ali e antenne)</t>
        </is>
      </c>
      <c r="H124" s="47" t="inlineStr">
        <is>
          <t>Il paraluce grande (Ø 99 mm) non entra in nessun punto della L larga 86 mm attorno al telescopio (D-118); il corto sì, e toglie 0,1 kg</t>
        </is>
      </c>
      <c r="I124" s="47" t="inlineStr">
        <is>
          <t>Budget M-02 (0,185 kg per testa), volume V-03, layout A5.7.4, esclusione del Sole e della Terra (angolo più largo con il paraluce corto, TBC: verifica in Fase B con gli assetti di D-106 e delle riprese)</t>
        </is>
      </c>
      <c r="J124" s="47" t="inlineStr">
        <is>
          <t>DR-15, DR-16</t>
        </is>
      </c>
      <c r="K124" s="47" t="inlineStr">
        <is>
          <t>R-06</t>
        </is>
      </c>
      <c r="L124" s="47" t="inlineStr">
        <is>
          <t>Approvata</t>
        </is>
      </c>
      <c r="M124" s="47" t="n"/>
      <c r="N124" s="47" t="inlineStr">
        <is>
          <t>Chat del 31/10/2026 (A5.7.4); PULSE_Layout/A5.7/layout_bozza.py</t>
        </is>
      </c>
      <c r="O124" s="47" t="inlineStr">
        <is>
          <t>Riguarda solo la parte GNC. Angoli di esclusione del paraluce corto da chiedere a Rocket Lab (ICD ST-16RT2)</t>
        </is>
      </c>
    </row>
    <row r="125" s="26">
      <c r="A125" s="47" t="inlineStr">
        <is>
          <t>D-124</t>
        </is>
      </c>
      <c r="B125" s="48" t="n">
        <v>46326</v>
      </c>
      <c r="C125" s="47" t="inlineStr">
        <is>
          <t>A5</t>
        </is>
      </c>
      <c r="D125" s="47" t="inlineStr">
        <is>
          <t>Giuliano</t>
        </is>
      </c>
      <c r="E125" s="47" t="inlineStr">
        <is>
          <t>Propulsione</t>
        </is>
      </c>
      <c r="F125" s="47" t="inlineStr">
        <is>
          <t>DR-67 riscritto sul baricentro (R1): il consumo dell'iodio non deve spostare il baricentro di più di ±5,5 mm dalla linea di spinta, con la linea di spinta sul baricentro a metà vita. Serbatoio sotto il blocco motore a ~100 mm dalla linea (bozza A5.7.4: 4,8 mm a iodio pieno, 5,3 mm a iodio vuoto)</t>
        </is>
      </c>
      <c r="G125" s="47" t="inlineStr">
        <is>
          <t>R2: tenere il serbatoio entro ~70 mm dalla linea di spinta (impossibile con due blocchi da ~94 mm uno accanto all'altro, salvo cambiare motore)</t>
        </is>
      </c>
      <c r="H125" s="47" t="inlineStr">
        <is>
          <t>Il vincolo che conta è la coppia in spinta, cioè la distanza tra baricentro e linea di spinta, non la posizione del serbatoio. Con ~21 kg di massa reale (non 30) lo stesso iodio sposta di più il baricentro; il bilanciamento a metà vita lo dimezza. D-047 (10 mm) era dimensionato con 1,1 mN, la REGULUS dà 0,55 mN</t>
        </is>
      </c>
      <c r="I125" s="47" t="inlineStr">
        <is>
          <t>DR-67, D-047 (resta ~4,5 mm per le altre tolleranze), D-118 (testo sul serbatoio superato), posizione dell'ugello (A5.7.7, con le ali aperte), zavorra</t>
        </is>
      </c>
      <c r="J125" s="47" t="inlineStr">
        <is>
          <t>DR-67, DR-21</t>
        </is>
      </c>
      <c r="K125" s="47" t="inlineStr">
        <is>
          <t>R-26</t>
        </is>
      </c>
      <c r="L125" s="47" t="inlineStr">
        <is>
          <t>Approvata</t>
        </is>
      </c>
      <c r="M125" s="47" t="n"/>
      <c r="N125" s="47" t="inlineStr">
        <is>
          <t>Chat del 31/10/2026 (A5.7.4); PULSE_Layout/A5.7/layout_bozza.py</t>
        </is>
      </c>
      <c r="O125" s="47" t="inlineStr">
        <is>
          <t>Il valore va riconfermato in A5.7.7 con le ali aperte (la spinta avviene ad ali aperte)</t>
        </is>
      </c>
    </row>
    <row r="126" s="26">
      <c r="A126" s="47" t="inlineStr">
        <is>
          <t>D-125</t>
        </is>
      </c>
      <c r="B126" s="48" t="n">
        <v>46326</v>
      </c>
      <c r="C126" s="47" t="inlineStr">
        <is>
          <t>A5</t>
        </is>
      </c>
      <c r="D126" s="47" t="inlineStr">
        <is>
          <t>Giuliano</t>
        </is>
      </c>
      <c r="E126" s="47" t="inlineStr">
        <is>
          <t>Struttura</t>
        </is>
      </c>
      <c r="F126" s="47" t="inlineStr">
        <is>
          <t>Disposizione interna di riferimento (L1b), sistema D-114: fetta −X (86 mm) con blocco motore REGULUS al centro (ugello sul baricentro a metà vita, oggi Y +19,6 / Z −4,9 mm, TBC con le ali aperte), serbatoio sotto il motore, sopra il motore la pila delle schede (computer di bordo, radio S, UHF, PCDU) nel piano Y–Z, di taglio contro la parete −Y del radiatore (DR-70), in alto star tracker 1; fetta +Y (86 mm) con IMU a metà altezza, batteria sotto, ruote in fondo, scheda payload (D-091) e star tracker 2 in alto; sopra il telescopio solo magnetorquer X e Y e magnetometro (~280 mm dal motore); magnetorquer Z verticale nell'angolo −X/+Y. Facce: +Z star tracker, patch S, GNSS, UHF; −Z apertura e patch S; −Y radiatori (payload + 600 cm² di piattaforma); +Y e +X ali chiuse; −X ugello (blocco motore e serbatoio sporgono ~37 mm, TBC con l'ICD)</t>
        </is>
      </c>
      <c r="G126" s="47" t="inlineStr">
        <is>
          <t>L1: pila delle schede sulla +Y (dalla parte opposta al radiatore: DR-70 non rispettato, una treccia di rame da 2 W/K peserebbe ~2,8 kg); L2: serbatoio sopra il motore (baricentro a Z +32 mm, serbatoio contro IMU, star tracker e GNSS); L3: batteria e PCDU in basso nella fetta −X (contro il serbatoio)</t>
        </is>
      </c>
      <c r="H126" s="47" t="inlineStr">
        <is>
          <t>Unica variante che rispetta DR-70 senza massa in più: schede con squadrette di alluminio contro la −Y, ~1 W/K per scheda (stima G = k·A/L, ~4 W/K in tutto prima dei contatti); baricentro e linea di spinta quasi uguali a L1 (4,8 / 5,3 mm a iodio pieno / vuoto, DR-67); IMU vicino a uno star tracker e al baricentro; nessuna sovrapposizione</t>
        </is>
      </c>
      <c r="I126" s="47" t="inlineStr">
        <is>
          <t>Modello termico di Giuseppe (posizioni in PULSE_Layout/A5.7/risultati/layout_componenti_L1b.csv), stivaggio delle ali (A5.7.5), baricentro e inerzie (A5.7.7–A5.7.8), cablaggi (M-25), zavorra</t>
        </is>
      </c>
      <c r="J126" s="47" t="inlineStr">
        <is>
          <t>DR-14, DR-21, DR-67, DR-70</t>
        </is>
      </c>
      <c r="K126" s="47" t="inlineStr">
        <is>
          <t>R-26, R-61</t>
        </is>
      </c>
      <c r="L126" s="47" t="inlineStr">
        <is>
          <t>Approvata</t>
        </is>
      </c>
      <c r="M126" s="47" t="n"/>
      <c r="N126" s="47" t="inlineStr">
        <is>
          <t>Chat del 31/10/2026 (A5.7.4); PULSE_Layout/A5.7/layout_bozza.py (L1b), figura risultati/layout_bozza_L1b.png</t>
        </is>
      </c>
      <c r="O126" s="47" t="inlineStr">
        <is>
          <t>Bozza di primo ordine con componenti come scatole: pareti, attacchi e cablaggi esclusi. Pila delle schede spessa 82 mm su 86 disponibili: poco spazio per i connettori (Fase B). Pila subito sopra il motore (calore R-57) | 31/10/2026 (D-126, Proposta): con le ali aperte in alto il motore sale a Z −14…+80 mm e la pila delle schede scende in fondo alla fetta −X (Z −224…−128 mm), sempre contro la parete −Y</t>
        </is>
      </c>
    </row>
    <row r="127" s="26">
      <c r="A127" s="47" t="inlineStr">
        <is>
          <t>D-126</t>
        </is>
      </c>
      <c r="B127" s="48" t="n">
        <v>46326</v>
      </c>
      <c r="C127" s="47" t="inlineStr">
        <is>
          <t>A5</t>
        </is>
      </c>
      <c r="D127" s="47" t="inlineStr">
        <is>
          <t>Giuliano</t>
        </is>
      </c>
      <c r="E127" s="47" t="inlineStr">
        <is>
          <t>Struttura</t>
        </is>
      </c>
      <c r="F127" s="47" t="inlineStr">
        <is>
          <t>Stivaggio e apertura delle ali (W1): 3 ali a fisarmonica per lato sulle facce +Y e −Y, cerniera sullo spigolo alto (+Z); chiuse coprono la faccia (pila ~25 mm + sgancio, TBC, entro 39,5 mm); aperte si stendono lungo ±Y nel piano della faccia +Z (~1,37 m per lato), celle verso lo zenit, spigolo sottile contro il flusso (D-106). 4 cerniere sul corpo (2 per lato) più gli sganci, isolate (DR-69). Con le ali aperte la linea di spinta (ugello) va a Y +6,5 / Z +33 mm; la pila delle schede scende in fondo alla fetta −X, sempre contro la parete −Y (aggiorna D-125)</t>
        </is>
      </c>
      <c r="G127" s="47" t="inlineStr">
        <is>
          <t>W2: come W1 con cerniera sullo spigolo basso (−Z): il radiatore −Y vede le celle calde (fino a ~+72 °C) e la Terra, ali vicine all'apertura e all'orizzonte della patch a nadir; W3: 3 ali sulla +Y e 3 sulla +X: baricentro ad ali aperte a Y +94 mm, ugello fuori dall'involucro</t>
        </is>
      </c>
      <c r="H127" s="47" t="inlineStr">
        <is>
          <t>Unica configurazione simmetrica che chiude senza conflitti e lascia al radiatore −Y la vista del retro freddo delle ali (verniciato, DR-71); star tracker e patch a zenit hanno le ali di fianco, fuori dal campo; pila delle schede più lontana dal motore (R-57)</t>
        </is>
      </c>
      <c r="I127" s="47" t="inlineStr">
        <is>
          <t>Inerzie ad ali aperte Ixx 3,05 / Iyy 0,45 / Izz 2,78 kg·m² (~3 volte D-043): slew di rollio 45° in 60 s chiede ~0,080 N·m·s contro 0,082 con una ruota guasta (DR-22 da rivedere); gradiente di gravità con segno opposto (asse di inerzia minima Y), coppia del rollio fisso ~4,7·10⁻⁶ N·m (DR-61); resistenza +~5% dagli spigoli delle ali (TBC); radiatori −Y coperti finché le ali sono chiuse (termico del lancio e del detumbling, momento di apertura da decidere in A6); posizioni per il termico in PULSE_Layout/A5.7/risultati/layout_componenti_W1_ali_*.csv</t>
        </is>
      </c>
      <c r="J127" s="47" t="inlineStr">
        <is>
          <t>DR-14, DR-21, DR-22, DR-61, DR-69, DR-70</t>
        </is>
      </c>
      <c r="K127" s="47" t="inlineStr">
        <is>
          <t>R-26, R-56, R-57</t>
        </is>
      </c>
      <c r="L127" s="47" t="inlineStr">
        <is>
          <t>Approvata</t>
        </is>
      </c>
      <c r="M127" s="47" t="n"/>
      <c r="N127" s="47" t="inlineStr">
        <is>
          <t>Chat del 31/10/2026 (A5.7.5); PULSE_Layout/A5.7/ali_stivaggio.py, risultati/ali_stivaggio.txt e .png</t>
        </is>
      </c>
      <c r="O127" s="47" t="inlineStr">
        <is>
          <t>Proposta: cambia ipotesi del termico di Giuseppe (radiatori coperti con le ali chiuse, vista del retro delle ali dal radiatore). Inerzie e slew da verificare in A5.7.8 | 31/10/2026 Giuseppe: approvata dopo la verifica termica A5.8.7 (fattore di vista radiatore −Y → retro dell'ala −Y 0,10–0,22, effetto piccolo: il radiatore cede ~0,5 W medi all'ala nel caso caldo; con le ali chiuse l'interno si scalda piano, da 20 a ~24 °C in 4,8 h: nessun vincolo termico sul momento di apertura)</t>
        </is>
      </c>
    </row>
    <row r="128" s="26">
      <c r="A128" s="47" t="inlineStr">
        <is>
          <t>D-127</t>
        </is>
      </c>
      <c r="B128" s="48" t="n">
        <v>46326</v>
      </c>
      <c r="C128" s="47" t="inlineStr">
        <is>
          <t>A5</t>
        </is>
      </c>
      <c r="D128" s="47" t="inlineStr">
        <is>
          <t>Giuliano</t>
        </is>
      </c>
      <c r="E128" s="47" t="inlineStr">
        <is>
          <t>Potenza</t>
        </is>
      </c>
      <c r="F128" s="47" t="inlineStr">
        <is>
          <t>Riserva per 8 ali (A): si tiene solo il posto geometrico (pila da 4 ali per lato ~32 mm + sgancio, TBC, entro 39,5 mm); passare a 8 ali richiede ruote più grandi o slew di rollio più lenti, perché ad ali aperte Ixx sale a ~6,4 kg·m² e lo slew di 45° in 60 s chiede ~0,166 N·m·s, oltre gli 0,163 della piramide di ruote (D-048)</t>
        </is>
      </c>
      <c r="G128" s="47" t="inlineStr">
        <is>
          <t>B: togliere la riserva per 8 ali e gestire il Sole alto solo con le operazioni (regola D-112)</t>
        </is>
      </c>
      <c r="H128" s="47" t="inlineStr">
        <is>
          <t>La porta resta aperta a costo zero, ma con il costo dichiarato sull'ADCS</t>
        </is>
      </c>
      <c r="I128" s="47" t="inlineStr">
        <is>
          <t>R-56 (Sole alto), D-048 (ruote), A5.4 (tempi di slew), budget di massa (+1,1 kg con 8 ali)</t>
        </is>
      </c>
      <c r="J128" s="47" t="inlineStr">
        <is>
          <t>DR-22</t>
        </is>
      </c>
      <c r="K128" s="47" t="inlineStr">
        <is>
          <t>R-56</t>
        </is>
      </c>
      <c r="L128" s="47" t="inlineStr">
        <is>
          <t>Approvata</t>
        </is>
      </c>
      <c r="M128" s="47" t="n"/>
      <c r="N128" s="47" t="inlineStr">
        <is>
          <t>Chat del 31/10/2026 (A5.7.5); PULSE_Layout/A5.7/ali_stivaggio.py</t>
        </is>
      </c>
      <c r="O128" s="47" t="n"/>
    </row>
    <row r="129">
      <c r="A129" s="47" t="inlineStr">
        <is>
          <t>D-128</t>
        </is>
      </c>
      <c r="B129" s="48" t="n">
        <v>46326</v>
      </c>
      <c r="C129" s="47" t="inlineStr">
        <is>
          <t>A5</t>
        </is>
      </c>
      <c r="D129" s="47" t="inlineStr">
        <is>
          <t>Giuseppe</t>
        </is>
      </c>
      <c r="E129" s="47" t="inlineStr">
        <is>
          <t>Termico</t>
        </is>
      </c>
      <c r="F129" s="47" t="inlineStr">
        <is>
          <t>Verifica termica con il layout L1b (D-125) e le ali W1 (D-126), modello con interno a due nodi (pila delle schede contro la −Y e resto: motore, ruote, giroscopio, batteria, payload). Punto di progetto: pila → radiatore 4 W/K (basta ≥ 2 W/K), pila ↔ resto ≥ 1 W/K e resto → parete −Y ≥ 1 W/K (DR-72), fattore di vista radiatore → retro dell'ala −Y 0,22 (caso prudente). P-24 diventa 1,1 W nelle riprese, spinta e scarico e 5,9 W in riposo/safe (giorno senza spinta); safe ~0 W</t>
        </is>
      </c>
      <c r="G129" s="47" t="inlineStr">
        <is>
          <t>A: tenere P-24 a 0,7/5,7 W (modello a un nodo interno, ottimista con il nuovo layout); C: inviluppo di tutte le sensibilità 2,0/7,0 W (pila 4 / resto 3 W/K: giorno senza spinta ~10 W al bus contro 11 W che chiudono)</t>
        </is>
      </c>
      <c r="H129" s="47" t="inlineStr">
        <is>
          <t>Caldo: resto 18,4–23,1 °C (motore 20 W: 25,0 °C), pila 12,0–25,1 °C, batteria 19,6–22,0 °C; routine d'estate 1,1 W di riscaldatori (26 Wh/giorno); giorno senza spinta 5,9 W (144 Wh/giorno); safe ~0 W. Pila 7–27 °C in tutti i casi, dentro i limiti di radio S (−20/+50), UHF (−10/+45), computer di bordo (−25/+65) e PCDU (−35/+85). Con resto → parete 0,3 W/K e pila ↔ resto 0,5 W/K il resto arriva a 28 °C con il motore a 20 W (oltre DR-64). Il margine ×1,44 di Giuliano copre l'inviluppo (1,1 × 1,44 = 1,6 W al bus, sotto i 4 W di DR-68). Ali chiuse dopo il rilascio: l'interno si scalda piano (da 20 a ~24 °C in 4,8 h), nessun vincolo termico sul momento di apertura (ConOps A6)</t>
        </is>
      </c>
      <c r="I129" s="47" t="inlineStr">
        <is>
          <t>Bilancio di potenza P-24 (Giuliano), struttura (DR-72: collegamento del blocco motore alla parete −Y, es. staffa di alluminio 5 × 80 mm su ~70 mm ≈ 1 W/K, ~80 g, stima), layout del radiatore sulla −Y (in basso dietro la pila vede meno l'ala: F 0,10)</t>
        </is>
      </c>
      <c r="J129" s="47" t="inlineStr">
        <is>
          <t>DR-64, DR-68, DR-70, DR-72</t>
        </is>
      </c>
      <c r="K129" s="47" t="inlineStr">
        <is>
          <t>R-57, R-58</t>
        </is>
      </c>
      <c r="L129" s="47" t="inlineStr">
        <is>
          <t>Proposta</t>
        </is>
      </c>
      <c r="M129" s="47" t="n"/>
      <c r="N129" s="47" t="inlineStr">
        <is>
          <t>Chat del 31/10/2026 (A5.8.7); a5_8_termico/a5_8_7_verifica_layout.py, A5.8.7_verifica_layout.md</t>
        </is>
      </c>
      <c r="O129" s="47" t="inlineStr">
        <is>
          <t>Proposta per Giuliano: cambia P-24 (da 0,7/5,7 a 1,1/5,9 W) e chiede DR-72 sulla struttura. Conduttanze TBC. Motore 48,5 W: resto fino a ~35 °C (R-57, come in A5.8.3). Aperto: radiatore della scheda payload (D-095, 90 cm² sulla −Y) da ripensare, perché la scheda ora sta sul lato +Y (D-125)</t>
        </is>
      </c>
    </row>
  </sheetData>
  <autoFilter ref="A1:O200"/>
  <conditionalFormatting sqref="A2:O200">
    <cfRule type="expression" rank="0" priority="2" equalAverage="0" aboveAverage="0" dxfId="5" text="" percent="0" bottom="0">
      <formula>$L2="Aperta"</formula>
    </cfRule>
    <cfRule type="expression" rank="0" priority="3" equalAverage="0" aboveAverage="0" dxfId="6" text="" percent="0" bottom="0">
      <formula>$L2="Proposta"</formula>
    </cfRule>
    <cfRule type="expression" rank="0" priority="4" equalAverage="0" aboveAverage="0" dxfId="7" text="" percent="0" bottom="0">
      <formula>$L2="Provvisoria"</formula>
    </cfRule>
    <cfRule type="expression" rank="0" priority="5" equalAverage="0" aboveAverage="0" dxfId="8" text="" percent="0" bottom="0">
      <formula>$L2="Superata"</formula>
    </cfRule>
  </conditionalFormatting>
  <dataValidations count="4">
    <dataValidation sqref="C2:C200" showDropDown="0" showInputMessage="0" showErrorMessage="0" allowBlank="1" error="Scegli un valore dalla lista" type="list" errorStyle="stop" operator="between">
      <formula1>Liste!$D$2:$D$10</formula1>
      <formula2>0</formula2>
    </dataValidation>
    <dataValidation sqref="D2:D200" showDropDown="0" showInputMessage="0" showErrorMessage="0" allowBlank="1" error="Scegli un valore dalla lista" type="list" errorStyle="stop" operator="between">
      <formula1>Liste!$B$2:$B$4</formula1>
      <formula2>0</formula2>
    </dataValidation>
    <dataValidation sqref="E2:E200" showDropDown="0" showInputMessage="0" showErrorMessage="0" allowBlank="1" error="Scegli un valore dalla lista" type="list" errorStyle="stop" operator="between">
      <formula1>Liste!$C$2:$C$13</formula1>
      <formula2>0</formula2>
    </dataValidation>
    <dataValidation sqref="L2:L200" showDropDown="0" showInputMessage="0" showErrorMessage="0" allowBlank="1" error="Scegli un valore dalla lista" type="list" errorStyle="stop" operator="between">
      <formula1>Liste!$A$2:$A$6</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I8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25" min="1" max="1"/>
    <col width="11" customWidth="1" style="25" min="2" max="2"/>
    <col width="60" customWidth="1" style="25" min="3" max="3"/>
    <col width="22" customWidth="1" style="25" min="4" max="5"/>
    <col width="13" customWidth="1" style="25" min="6" max="6"/>
    <col width="20" customWidth="1" style="25" min="7" max="7"/>
    <col width="13" customWidth="1" style="25" min="8" max="8"/>
    <col width="30" customWidth="1" style="25" min="9" max="9"/>
  </cols>
  <sheetData>
    <row r="1" ht="30" customHeight="1" s="26">
      <c r="A1" s="44" t="inlineStr">
        <is>
          <t>ID</t>
        </is>
      </c>
      <c r="B1" s="44" t="inlineStr">
        <is>
          <t>Tipo</t>
        </is>
      </c>
      <c r="C1" s="44" t="inlineStr">
        <is>
          <t>Requisito</t>
        </is>
      </c>
      <c r="D1" s="44" t="inlineStr">
        <is>
          <t>Valore / soglia</t>
        </is>
      </c>
      <c r="E1" s="44" t="inlineStr">
        <is>
          <t>Metodo di verifica</t>
        </is>
      </c>
      <c r="F1" s="44" t="inlineStr">
        <is>
          <t>Stato</t>
        </is>
      </c>
      <c r="G1" s="44" t="inlineStr">
        <is>
          <t>Origine (decisione / passo)</t>
        </is>
      </c>
      <c r="H1" s="44" t="inlineStr">
        <is>
          <t>Responsabile</t>
        </is>
      </c>
      <c r="I1" s="44" t="inlineStr">
        <is>
          <t>Note</t>
        </is>
      </c>
    </row>
    <row r="2" ht="15" customHeight="1" s="26">
      <c r="A2" s="47" t="inlineStr">
        <is>
          <t>MR-01</t>
        </is>
      </c>
      <c r="B2" s="47" t="inlineStr">
        <is>
          <t>Missione</t>
        </is>
      </c>
      <c r="C2" s="47" t="inlineStr">
        <is>
          <t>PULSE deve poter osservare qualsiasi punto del territorio italiano.</t>
        </is>
      </c>
      <c r="D2" s="47" t="inlineStr">
        <is>
          <t>5°E–20°E, 35°N–48°N</t>
        </is>
      </c>
      <c r="E2" s="47" t="inlineStr">
        <is>
          <t>Analisi (GMAT)</t>
        </is>
      </c>
      <c r="F2" s="47" t="inlineStr">
        <is>
          <t>Approvato</t>
        </is>
      </c>
      <c r="G2" s="47" t="inlineStr">
        <is>
          <t>D-003</t>
        </is>
      </c>
      <c r="H2" s="47" t="inlineStr">
        <is>
          <t>Giuliano</t>
        </is>
      </c>
      <c r="I2" s="47" t="inlineStr">
        <is>
          <t>Verificato sui 5 bersagli in A1</t>
        </is>
      </c>
    </row>
    <row r="3" ht="45.75" customHeight="1" s="26">
      <c r="A3" s="47" t="inlineStr">
        <is>
          <t>MR-02</t>
        </is>
      </c>
      <c r="B3" s="47" t="inlineStr">
        <is>
          <t>Missione</t>
        </is>
      </c>
      <c r="C3" s="47" t="inlineStr">
        <is>
          <t>La costellazione PULSE deve consegnare la mappa entro 48 h nel 90% delle richieste, per qualunque punto del territorio italiano; per gli eventi che richiedono ripresa diurna è ammesso il puntamento fino a 45° off-nadir.</t>
        </is>
      </c>
      <c r="D3" s="47" t="inlineStr">
        <is>
          <t>48 h, 90%</t>
        </is>
      </c>
      <c r="E3" s="47" t="inlineStr">
        <is>
          <t>Analisi + simulazione</t>
        </is>
      </c>
      <c r="F3" s="47" t="inlineStr">
        <is>
          <t>Approvato</t>
        </is>
      </c>
      <c r="G3" s="47" t="inlineStr">
        <is>
          <t>D-017 (A1)</t>
        </is>
      </c>
      <c r="H3" s="47" t="inlineStr">
        <is>
          <t>Giuliano</t>
        </is>
      </c>
      <c r="I3" s="47" t="inlineStr">
        <is>
          <t>In A1: 100% a 30° giorno+notte</t>
        </is>
      </c>
    </row>
    <row r="4" ht="23.25" customHeight="1" s="26">
      <c r="A4" s="47" t="inlineStr">
        <is>
          <t>MR-03</t>
        </is>
      </c>
      <c r="B4" s="47" t="inlineStr">
        <is>
          <t>Missione</t>
        </is>
      </c>
      <c r="C4" s="47" t="inlineStr">
        <is>
          <t>Di giorno, a nadir, PULSE deve raggiungere una risoluzione effettiva ≤ 2 m nel pancromatico e ≤ 5 m nel multispettrale (RGB-NIR).</t>
        </is>
      </c>
      <c r="D4" s="47" t="inlineStr">
        <is>
          <t>≤ 2 m PAN, ≤ 5 m MS</t>
        </is>
      </c>
      <c r="E4" s="47" t="inlineStr">
        <is>
          <t>Analisi ottica, poi test</t>
        </is>
      </c>
      <c r="F4" s="47" t="inlineStr">
        <is>
          <t>Approvato</t>
        </is>
      </c>
      <c r="G4" s="47" t="inlineStr">
        <is>
          <t>D-011, D-024, D-025</t>
        </is>
      </c>
      <c r="H4" s="47" t="inlineStr">
        <is>
          <t>Giuseppe</t>
        </is>
      </c>
      <c r="I4" s="47" t="inlineStr">
        <is>
          <t>A2: GSD 1,5 m PAN, 3,0 m RGB-NIR</t>
        </is>
      </c>
    </row>
    <row r="5" ht="23.25" customHeight="1" s="26">
      <c r="A5" s="47" t="inlineStr">
        <is>
          <t>MR-04</t>
        </is>
      </c>
      <c r="B5" s="47" t="inlineStr">
        <is>
          <t>Missione</t>
        </is>
      </c>
      <c r="C5" s="47" t="inlineStr">
        <is>
          <t>Di notte PULSE deve raggiungere una risoluzione effettiva ≤ 15 m sulle aree illuminate e ≤ 5 m sugli incendi.</t>
        </is>
      </c>
      <c r="D5" s="47" t="inlineStr">
        <is>
          <t>≤ 15 m / ≤ 5 m</t>
        </is>
      </c>
      <c r="E5" s="47" t="inlineStr">
        <is>
          <t>Analisi radiometrica (SNR)</t>
        </is>
      </c>
      <c r="F5" s="47" t="inlineStr">
        <is>
          <t>TBC</t>
        </is>
      </c>
      <c r="G5" s="47" t="inlineStr">
        <is>
          <t>D-011, D-026, D-029, D-031</t>
        </is>
      </c>
      <c r="H5" s="47" t="inlineStr">
        <is>
          <t>Giuseppe</t>
        </is>
      </c>
      <c r="I5" s="47" t="inlineStr">
        <is>
          <t>A3: aree illuminate OK (quartieri 4,8 m e paesi 9,6 m con SNR 10). Incendi ≤ 5 m non ancora verificati: resta TBC</t>
        </is>
      </c>
    </row>
    <row r="6" ht="23.25" customHeight="1" s="26">
      <c r="A6" s="47" t="inlineStr">
        <is>
          <t>MR-05</t>
        </is>
      </c>
      <c r="B6" s="47" t="inlineStr">
        <is>
          <t>Missione</t>
        </is>
      </c>
      <c r="C6" s="47" t="inlineStr">
        <is>
          <t>PULSE deve garantire qualità nominale fino a 30° off-nadir e poter puntare fino a 45° in modalità degradata.</t>
        </is>
      </c>
      <c r="D6" s="47" t="inlineStr">
        <is>
          <t>30° / 45°</t>
        </is>
      </c>
      <c r="E6" s="47" t="inlineStr">
        <is>
          <t>Analisi + simulazione GNC</t>
        </is>
      </c>
      <c r="F6" s="47" t="inlineStr">
        <is>
          <t>Approvato</t>
        </is>
      </c>
      <c r="G6" s="47" t="inlineStr">
        <is>
          <t>D-006</t>
        </is>
      </c>
      <c r="H6" s="47" t="inlineStr">
        <is>
          <t>Giuliano</t>
        </is>
      </c>
      <c r="I6" s="47" t="n"/>
    </row>
    <row r="7" ht="23.25" customHeight="1" s="26">
      <c r="A7" s="47" t="inlineStr">
        <is>
          <t>MR-06</t>
        </is>
      </c>
      <c r="B7" s="47" t="inlineStr">
        <is>
          <t>Missione</t>
        </is>
      </c>
      <c r="C7" s="47" t="inlineStr">
        <is>
          <t>Di giorno PULSE deve rilevare ponti crollati, frane su strade, crolli estesi, aree allagate e incendi (fumo e aree bruciate).</t>
        </is>
      </c>
      <c r="D7" s="47" t="n"/>
      <c r="E7" s="47" t="inlineStr">
        <is>
          <t>Test AI su dataset</t>
        </is>
      </c>
      <c r="F7" s="47" t="inlineStr">
        <is>
          <t>Approvato</t>
        </is>
      </c>
      <c r="G7" s="47" t="inlineStr">
        <is>
          <t>D-002</t>
        </is>
      </c>
      <c r="H7" s="47" t="inlineStr">
        <is>
          <t>Giuseppe</t>
        </is>
      </c>
      <c r="I7" s="47" t="inlineStr">
        <is>
          <t>Metrica (precisione/richiamo) da fissare in Fase B</t>
        </is>
      </c>
    </row>
    <row r="8" ht="23.25" customHeight="1" s="26">
      <c r="A8" s="47" t="inlineStr">
        <is>
          <t>MR-07</t>
        </is>
      </c>
      <c r="B8" s="47" t="inlineStr">
        <is>
          <t>Missione</t>
        </is>
      </c>
      <c r="C8" s="47" t="inlineStr">
        <is>
          <t>Di notte PULSE deve rilevare incendi e blackout. Un blackout è segnalato come "confermato" solo se il calo di luce rispetto al riferimento supera la soglia su un'area minima e il cielo sereno è confermato da due controlli indipendenti; negli altri casi la zona è "non confermabile" o "calo parziale".</t>
        </is>
      </c>
      <c r="D8" s="47" t="inlineStr">
        <is>
          <t>Calo ≥ 70%; area ≥ ~300 × 300 m (riferimento PULSE) o ~1 × 1 km (solo VIIRS)</t>
        </is>
      </c>
      <c r="E8" s="47" t="inlineStr">
        <is>
          <t>Analisi + test AI</t>
        </is>
      </c>
      <c r="F8" s="47" t="inlineStr">
        <is>
          <t>TBC</t>
        </is>
      </c>
      <c r="G8" s="47" t="inlineStr">
        <is>
          <t>D-013, D-060…D-065 (A4)</t>
        </is>
      </c>
      <c r="H8" s="47" t="inlineStr">
        <is>
          <t>Giuseppe</t>
        </is>
      </c>
      <c r="I8" s="47" t="inlineStr">
        <is>
          <t>A4: metodo definito; soglie da tarare in Fase B su blackout reali. Parte incendi legata a MR-04</t>
        </is>
      </c>
    </row>
    <row r="9" ht="23.25" customHeight="1" s="26">
      <c r="A9" s="47" t="inlineStr">
        <is>
          <t>MR-08</t>
        </is>
      </c>
      <c r="B9" s="47" t="inlineStr">
        <is>
          <t>Missione</t>
        </is>
      </c>
      <c r="C9" s="47" t="inlineStr">
        <is>
          <t>Di notte PULSE deve segnalare possibili danni alle infrastrutture dalla variazione delle luci artificiali.</t>
        </is>
      </c>
      <c r="D9" s="47" t="n"/>
      <c r="E9" s="47" t="inlineStr">
        <is>
          <t>Test AI</t>
        </is>
      </c>
      <c r="F9" s="47" t="inlineStr">
        <is>
          <t>Approvato</t>
        </is>
      </c>
      <c r="G9" s="47" t="inlineStr">
        <is>
          <t>D-002</t>
        </is>
      </c>
      <c r="H9" s="47" t="inlineStr">
        <is>
          <t>Giuseppe</t>
        </is>
      </c>
      <c r="I9" s="47" t="n"/>
    </row>
    <row r="10" ht="23.25" customHeight="1" s="26">
      <c r="A10" s="47" t="inlineStr">
        <is>
          <t>MR-09</t>
        </is>
      </c>
      <c r="B10" s="47" t="inlineStr">
        <is>
          <t>Missione</t>
        </is>
      </c>
      <c r="C10" s="47" t="inlineStr">
        <is>
          <t>Il prodotto per ogni allarme deve essere un vettore georeferenziato con un ritaglio d'immagine.</t>
        </is>
      </c>
      <c r="D10" s="47" t="inlineStr">
        <is>
          <t>GIS, es. GeoJSON (TBC)</t>
        </is>
      </c>
      <c r="E10" s="47" t="inlineStr">
        <is>
          <t>Ispezione</t>
        </is>
      </c>
      <c r="F10" s="47" t="inlineStr">
        <is>
          <t>TBC</t>
        </is>
      </c>
      <c r="G10" s="47" t="inlineStr">
        <is>
          <t>D-007</t>
        </is>
      </c>
      <c r="H10" s="47" t="inlineStr">
        <is>
          <t>Giuseppe</t>
        </is>
      </c>
      <c r="I10" s="47" t="n"/>
    </row>
    <row r="11" ht="23.25" customHeight="1" s="26">
      <c r="A11" s="47" t="inlineStr">
        <is>
          <t>MR-10</t>
        </is>
      </c>
      <c r="B11" s="47" t="inlineStr">
        <is>
          <t>Missione</t>
        </is>
      </c>
      <c r="C11" s="47" t="inlineStr">
        <is>
          <t>L'AI di bordo deve ortorettificare le immagini con assetto, orbita e DEM e confrontarle con i vettori OSM precaricati.</t>
        </is>
      </c>
      <c r="D11" s="47" t="n"/>
      <c r="E11" s="47" t="inlineStr">
        <is>
          <t>Test</t>
        </is>
      </c>
      <c r="F11" s="47" t="inlineStr">
        <is>
          <t>Approvato</t>
        </is>
      </c>
      <c r="G11" s="47" t="inlineStr">
        <is>
          <t>D-008</t>
        </is>
      </c>
      <c r="H11" s="47" t="inlineStr">
        <is>
          <t>Giuseppe</t>
        </is>
      </c>
      <c r="I11" s="47" t="n"/>
    </row>
    <row r="12" ht="23.25" customHeight="1" s="26">
      <c r="A12" s="47" t="inlineStr">
        <is>
          <t>MR-11</t>
        </is>
      </c>
      <c r="B12" s="47" t="inlineStr">
        <is>
          <t>Missione</t>
        </is>
      </c>
      <c r="C12" s="47" t="inlineStr">
        <is>
          <t>Ogni satellite PULSE deve operare su orbita eliosincrona a ~302 km con LTDN 10:30, con quota mantenuta dalla propulsione elettrica.</t>
        </is>
      </c>
      <c r="D12" s="47" t="inlineStr">
        <is>
          <t>302 km, LTDN 10:30</t>
        </is>
      </c>
      <c r="E12" s="47" t="inlineStr">
        <is>
          <t>Analisi</t>
        </is>
      </c>
      <c r="F12" s="47" t="inlineStr">
        <is>
          <t>Approvato</t>
        </is>
      </c>
      <c r="G12" s="47" t="inlineStr">
        <is>
          <t>D-012, D-015</t>
        </is>
      </c>
      <c r="H12" s="47" t="inlineStr">
        <is>
          <t>Giuliano</t>
        </is>
      </c>
      <c r="I12" s="47" t="inlineStr">
        <is>
          <t>Formulazione per satellite, come nel report MDR</t>
        </is>
      </c>
    </row>
    <row r="13" ht="15" customHeight="1" s="26">
      <c r="A13" s="47" t="inlineStr">
        <is>
          <t>MR-12</t>
        </is>
      </c>
      <c r="B13" s="47" t="inlineStr">
        <is>
          <t>Missione</t>
        </is>
      </c>
      <c r="C13" s="47" t="inlineStr">
        <is>
          <t>Ogni satellite PULSE deve avere una vita operativa di almeno 2 anni.</t>
        </is>
      </c>
      <c r="D13" s="47" t="inlineStr">
        <is>
          <t>≥ 2 anni</t>
        </is>
      </c>
      <c r="E13" s="47" t="inlineStr">
        <is>
          <t>Analisi</t>
        </is>
      </c>
      <c r="F13" s="47" t="inlineStr">
        <is>
          <t>Approvato</t>
        </is>
      </c>
      <c r="G13" s="47" t="inlineStr">
        <is>
          <t>D-009, D-020</t>
        </is>
      </c>
      <c r="H13" s="47" t="inlineStr">
        <is>
          <t>Giuliano</t>
        </is>
      </c>
      <c r="I13" s="47" t="n"/>
    </row>
    <row r="14" ht="23.25" customHeight="1" s="26">
      <c r="A14" s="47" t="inlineStr">
        <is>
          <t>MR-13</t>
        </is>
      </c>
      <c r="B14" s="47" t="inlineStr">
        <is>
          <t>Missione</t>
        </is>
      </c>
      <c r="C14" s="47" t="inlineStr">
        <is>
          <t>Ogni satellite PULSE deve essere una CubeSat 16U compatibile con i deployer standard.</t>
        </is>
      </c>
      <c r="D14" s="47" t="inlineStr">
        <is>
          <t>16U; massa al rilascio con margini ≤ 36 kg (obiettivo ≤ 32 kg); involucro EXOpod Nova</t>
        </is>
      </c>
      <c r="E14" s="47" t="inlineStr">
        <is>
          <t>Ispezione</t>
        </is>
      </c>
      <c r="F14" s="47" t="inlineStr">
        <is>
          <t>TBC</t>
        </is>
      </c>
      <c r="G14" s="47" t="inlineStr">
        <is>
          <t>D-009, D-036</t>
        </is>
      </c>
      <c r="H14" s="47" t="inlineStr">
        <is>
          <t>Entrambi</t>
        </is>
      </c>
      <c r="I14" s="47" t="inlineStr">
        <is>
          <t>A5.1: limiti di riferimento finché il deployer non è scelto (LR-01). Verifica in A5.7 (EarthNext max 35,6 kg)</t>
        </is>
      </c>
    </row>
    <row r="15" ht="23.25" customHeight="1" s="26">
      <c r="A15" s="47" t="inlineStr">
        <is>
          <t>MR-14</t>
        </is>
      </c>
      <c r="B15" s="47" t="inlineStr">
        <is>
          <t>Missione</t>
        </is>
      </c>
      <c r="C15" s="47" t="inlineStr">
        <is>
          <t>A fine vita ogni satellite PULSE deve rientrare in atmosfera secondo le regole sui detriti spaziali.</t>
        </is>
      </c>
      <c r="D15" s="47" t="n"/>
      <c r="E15" s="47" t="inlineStr">
        <is>
          <t>Analisi</t>
        </is>
      </c>
      <c r="F15" s="47" t="inlineStr">
        <is>
          <t>Approvato</t>
        </is>
      </c>
      <c r="G15" s="47" t="inlineStr">
        <is>
          <t>D-023</t>
        </is>
      </c>
      <c r="H15" s="47" t="inlineStr">
        <is>
          <t>Giuliano</t>
        </is>
      </c>
      <c r="I15" s="47" t="inlineStr">
        <is>
          <t>Rientro naturale da 302 km in pochi mesi</t>
        </is>
      </c>
    </row>
    <row r="16" ht="23.25" customHeight="1" s="26">
      <c r="A16" s="47" t="inlineStr">
        <is>
          <t>LR-01</t>
        </is>
      </c>
      <c r="B16" s="47" t="inlineStr">
        <is>
          <t>Lancio</t>
        </is>
      </c>
      <c r="C16" s="47" t="inlineStr">
        <is>
          <t>Il lanciatore o un rimorchiatore orbitale deve rilasciare i 4 satelliti a ~360 km, su orbita eliosincrona con inclinazione 96,8° e LTDN ~10:30.</t>
        </is>
      </c>
      <c r="D16" s="47" t="inlineStr">
        <is>
          <t>~360 km, 96,8°, 10:30</t>
        </is>
      </c>
      <c r="E16" s="47" t="inlineStr">
        <is>
          <t>Riesame interfaccia di lancio</t>
        </is>
      </c>
      <c r="F16" s="47" t="inlineStr">
        <is>
          <t>TBD</t>
        </is>
      </c>
      <c r="G16" s="47" t="inlineStr">
        <is>
          <t>D-018 (A1-bis)</t>
        </is>
      </c>
      <c r="H16" s="47" t="inlineStr">
        <is>
          <t>Giuliano</t>
        </is>
      </c>
      <c r="I16" s="47" t="inlineStr">
        <is>
          <t>Tolleranze da definire</t>
        </is>
      </c>
    </row>
    <row r="17" ht="15" customHeight="1" s="26">
      <c r="A17" s="47" t="inlineStr">
        <is>
          <t>DR-01</t>
        </is>
      </c>
      <c r="B17" s="47" t="inlineStr">
        <is>
          <t>Derivato</t>
        </is>
      </c>
      <c r="C17" s="47" t="inlineStr">
        <is>
          <t>Il tempo di esposizione diurno deve essere ≤ 0,2 ms per riga.</t>
        </is>
      </c>
      <c r="D17" s="47" t="inlineStr">
        <is>
          <t>≤ 0,2 ms</t>
        </is>
      </c>
      <c r="E17" s="47" t="inlineStr">
        <is>
          <t>Analisi</t>
        </is>
      </c>
      <c r="F17" s="47" t="inlineStr">
        <is>
          <t>Approvato</t>
        </is>
      </c>
      <c r="G17" s="47" t="inlineStr">
        <is>
          <t>D-024 (A2)</t>
        </is>
      </c>
      <c r="H17" s="47" t="inlineStr">
        <is>
          <t>Giuseppe</t>
        </is>
      </c>
      <c r="I17" s="47" t="inlineStr">
        <is>
          <t>Suolo a 7,4 km/s su pixel da 1,5 m</t>
        </is>
      </c>
    </row>
    <row r="18" ht="23.25" customHeight="1" s="26">
      <c r="A18" s="47" t="inlineStr">
        <is>
          <t>DR-02</t>
        </is>
      </c>
      <c r="B18" s="47" t="inlineStr">
        <is>
          <t>Derivato</t>
        </is>
      </c>
      <c r="C18" s="47" t="inlineStr">
        <is>
          <t>La stabilità di puntamento durante l'esposizione deve essere molto inferiore a 5 µrad.</t>
        </is>
      </c>
      <c r="D18" s="47" t="inlineStr">
        <is>
          <t>jitter ≤ 0,15 pixel PAN (0,74 µrad) di ampiezza; mosso in una riga &lt; 0,1 µrad</t>
        </is>
      </c>
      <c r="E18" s="47" t="inlineStr">
        <is>
          <t>Analisi + simulazione GNC</t>
        </is>
      </c>
      <c r="F18" s="47" t="inlineStr">
        <is>
          <t>TBC</t>
        </is>
      </c>
      <c r="G18" s="47" t="inlineStr">
        <is>
          <t>D-024 (A2), D-053 (A5)</t>
        </is>
      </c>
      <c r="H18" s="47" t="inlineStr">
        <is>
          <t>Giuliano</t>
        </is>
      </c>
      <c r="I18" s="47" t="inlineStr">
        <is>
          <t>A5.3 g): valore numerico fissato (D-053, Proposta). MTF dovuta al jitter ×0,945 a Nyquist. Verifica con dati di microvibrazione delle ruote in Fase B. A5.4.5: stima a corpo rigido 0,03–0,25 µrad (ruote ben bilanciate, 4 ruote); requisito di bilanciamento in DR-30 (D-059)</t>
        </is>
      </c>
    </row>
    <row r="19" ht="23.25" customHeight="1" s="26">
      <c r="A19" s="47" t="inlineStr">
        <is>
          <t>DR-03</t>
        </is>
      </c>
      <c r="B19" s="47" t="inlineStr">
        <is>
          <t>Derivato</t>
        </is>
      </c>
      <c r="C19" s="47" t="inlineStr">
        <is>
          <t>La posizione del fuoco deve restare entro ±37 µm sul piano focale.</t>
        </is>
      </c>
      <c r="D19" s="47" t="inlineStr">
        <is>
          <t>± 37 µm</t>
        </is>
      </c>
      <c r="E19" s="47" t="inlineStr">
        <is>
          <t>Analisi termo-strutturale</t>
        </is>
      </c>
      <c r="F19" s="47" t="inlineStr">
        <is>
          <t>Approvato</t>
        </is>
      </c>
      <c r="G19" s="47" t="inlineStr">
        <is>
          <t>D-024 (A2)</t>
        </is>
      </c>
      <c r="H19" s="47" t="inlineStr">
        <is>
          <t>Giuseppe</t>
        </is>
      </c>
      <c r="I19" s="47" t="inlineStr">
        <is>
          <t>Impone stabilità termica del telescopio | 30/10/2026 (D-088): verificato con il telescopio RC: a ±37 µm l'errore d'onda medio sale da 18 a ~35 nm (sotto λ/14 = 39 nm); a ±50 µm 44 nm. Valore invariato. | 30/10/2026 (D-098): con le aste in Invar il fuoco varia di ~1,7 µm/K e non risente dell'umidità.</t>
        </is>
      </c>
    </row>
    <row r="20" ht="23.25" customHeight="1" s="26">
      <c r="A20" s="47" t="inlineStr">
        <is>
          <t>DR-04</t>
        </is>
      </c>
      <c r="B20" s="47" t="inlineStr">
        <is>
          <t>Derivato</t>
        </is>
      </c>
      <c r="C20" s="47" t="inlineStr">
        <is>
          <t>Di notte il satellite deve eseguire la compensazione del moto (FMC).</t>
        </is>
      </c>
      <c r="D20" s="47" t="inlineStr">
        <is>
          <t>Beccheggio ~1,4°/s</t>
        </is>
      </c>
      <c r="E20" s="47" t="inlineStr">
        <is>
          <t>Simulazione GNC</t>
        </is>
      </c>
      <c r="F20" s="47" t="inlineStr">
        <is>
          <t>Approvato</t>
        </is>
      </c>
      <c r="G20" s="47" t="inlineStr">
        <is>
          <t>D-026 (A2)</t>
        </is>
      </c>
      <c r="H20" s="47" t="inlineStr">
        <is>
          <t>Giuliano</t>
        </is>
      </c>
      <c r="I20" s="47" t="inlineStr">
        <is>
          <t>Senza FMC il pixel resta sul bersaglio 0,65 ms. A3: ~1,0°/s a 45° traverso, ~0,7°/s a 45° lungo traccia; durata in DR-11</t>
        </is>
      </c>
    </row>
    <row r="21" ht="34.5" customHeight="1" s="26">
      <c r="A21" s="47" t="inlineStr">
        <is>
          <t>DR-05</t>
        </is>
      </c>
      <c r="B21" s="47" t="inlineStr">
        <is>
          <t>Derivato</t>
        </is>
      </c>
      <c r="C21" s="47" t="inlineStr">
        <is>
          <t>Durante la ripresa diurna la deriva d'assetto deve restare entro la soglia, e lo sfasamento tra le bande RGB-NIR e tra i passaggi TDI deve essere corretto a bordo con il modello geometrico (orbita, assetto misurato, DEM).</t>
        </is>
      </c>
      <c r="D21" s="47" t="inlineStr">
        <is>
          <t>≤ 0,001°/s; riallineamento geometrico a bordo (DR-26), residuo ≤ 1/3 pixel colore</t>
        </is>
      </c>
      <c r="E21" s="47" t="inlineStr">
        <is>
          <t>Analisi + simulazione GNC</t>
        </is>
      </c>
      <c r="F21" s="47" t="inlineStr">
        <is>
          <t>TBC</t>
        </is>
      </c>
      <c r="G21" s="47" t="inlineStr">
        <is>
          <t>D-025 (A2), D-040, D-056 (A5)</t>
        </is>
      </c>
      <c r="H21" s="47" t="inlineStr">
        <is>
          <t>Giuliano</t>
        </is>
      </c>
      <c r="I21" s="47" t="inlineStr">
        <is>
          <t>A5.3 a): scelta C (D-040, Proposta). Prima: ≤ 0,0002°/s senza correzione oppure ~0,001°/s con riallineamento a terra (scartato: contraddice D-007/MR-10). Ritardo tra le bande ~0,79 s (stima). A5.3 c): la rotazione terrestre fa scorrere il terreno di traverso di 2,4–2,9° (~250–290 m in 0,79 s): spostamento noto, da compensare (yaw steering o correzione a bordo) in A5.3 g). A5.3 f): in anello chiuso con giroscopio GY2 deriva vera 0,0004–0,0006°/s (rispettato); con MEMS tattico 0,004–0,008°/s (non rispettato). A5.4: la traslazione unica non basta con il rilievo (dislivello ammesso ~50 m sulle bande): metodo sostituito da D-056 (Proposta)</t>
        </is>
      </c>
    </row>
    <row r="22" ht="15" customHeight="1" s="26">
      <c r="A22" s="47" t="inlineStr">
        <is>
          <t>DR-06</t>
        </is>
      </c>
      <c r="B22" s="47" t="inlineStr">
        <is>
          <t>Derivato</t>
        </is>
      </c>
      <c r="C22" s="47" t="inlineStr">
        <is>
          <t>Ogni satellite deve disporre di un impulso totale di almeno 8,1 kN·s (caso solare medio F10.7 = 129, margine 20% incluso).</t>
        </is>
      </c>
      <c r="D22" s="47" t="inlineStr">
        <is>
          <t>≥ 8,1 kN·s</t>
        </is>
      </c>
      <c r="E22" s="47" t="inlineStr">
        <is>
          <t>Analisi, poi verifica su datasheet / test</t>
        </is>
      </c>
      <c r="F22" s="47" t="inlineStr">
        <is>
          <t>TBC</t>
        </is>
      </c>
      <c r="G22" s="47" t="inlineStr">
        <is>
          <t>D-022 (A1-bis), D-033 (A5)</t>
        </is>
      </c>
      <c r="H22" s="47" t="inlineStr">
        <is>
          <t>Giuliano</t>
        </is>
      </c>
      <c r="I22" s="47" t="inlineStr">
        <is>
          <t>Equivale a ~269 m/s per 30 kg; indipendente da massa e Isp. Caso alto: ~13,6 kN·s (464 m/s a 30 kg). TBC finché D-033 è Proposta/Provvisoria</t>
        </is>
      </c>
    </row>
    <row r="23" ht="15" customHeight="1" s="26">
      <c r="A23" s="47" t="inlineStr">
        <is>
          <t>DR-07</t>
        </is>
      </c>
      <c r="B23" s="47" t="inlineStr">
        <is>
          <t>Derivato</t>
        </is>
      </c>
      <c r="C23" s="47" t="inlineStr">
        <is>
          <t>L'unità propulsiva deve contenere propellente sufficiente a fornire l'impulso di DR-06 all'Isp operativa.</t>
        </is>
      </c>
      <c r="D23" s="47" t="inlineStr">
        <is>
          <t>≥ impulso DR-06 (~1,5 kg di iodio a Isp 550 s)</t>
        </is>
      </c>
      <c r="E23" s="47" t="inlineStr">
        <is>
          <t>Analisi</t>
        </is>
      </c>
      <c r="F23" s="47" t="inlineStr">
        <is>
          <t>TBC</t>
        </is>
      </c>
      <c r="G23" s="47" t="inlineStr">
        <is>
          <t>D-022 (A1-bis), D-033, D-034 (A5)</t>
        </is>
      </c>
      <c r="H23" s="47" t="inlineStr">
        <is>
          <t>Giuliano</t>
        </is>
      </c>
      <c r="I23" s="47" t="inlineStr">
        <is>
          <t>A5.2: servono ~1,46–1,50 kg a Isp 550 s per 30–36 kg (1,62–1,67 kg a 495 s). REGULUS Large: 11 kN·s ≈ 2,0 kg di iodio (stima, capacità non dichiarata). TBC finché D-033/D-034 non sono approvate</t>
        </is>
      </c>
    </row>
    <row r="24" ht="23.25" customHeight="1" s="26">
      <c r="A24" s="47" t="inlineStr">
        <is>
          <t>DR-08</t>
        </is>
      </c>
      <c r="B24" s="47" t="inlineStr">
        <is>
          <t>Derivato</t>
        </is>
      </c>
      <c r="C24" s="47" t="inlineStr">
        <is>
          <t>La manovra verso il bersaglio deve concludersi prima della finestra di ripresa, e dentro la finestra assestamento e ripresa devono stare nel tempo stabilito.</t>
        </is>
      </c>
      <c r="D24" s="47" t="inlineStr">
        <is>
          <t>manovra: slew 45° ≤ 60 s (giorno), aggancio notturno ≤ 120 s; in finestra assestamento + ripresa ≤ 10 s (finestra 47,7 s a 30°, 84 s a 45°)</t>
        </is>
      </c>
      <c r="E24" s="47" t="inlineStr">
        <is>
          <t>Simulazione GNC</t>
        </is>
      </c>
      <c r="F24" s="47" t="inlineStr">
        <is>
          <t>TBC</t>
        </is>
      </c>
      <c r="G24" s="47" t="inlineStr">
        <is>
          <t>A1, D-057 (A5)</t>
        </is>
      </c>
      <c r="H24" s="47" t="inlineStr">
        <is>
          <t>Giuliano</t>
        </is>
      </c>
      <c r="I24" s="47" t="inlineStr">
        <is>
          <t>A5.4.3: simulazione 1-asse con GY2: assestamento giorno 1,1–2,6 s (7,1 s prima del commissioning), notte ~0 s. Prima: "≤ 50 s a 30°, ≤ 90 s a 45°". Distanza minima tra bersagli notturni dello stesso satellite ~370–660 km (dato per A6) | 30/10/2026 (D-101): con il rallentamento assestamento + ripresa ≤ 6,9 s (rampa nello slew, 6,2 s prima del commissioning); tra bersagli senza slew servono ≥ ~51 s (~380 km) a nadir</t>
        </is>
      </c>
    </row>
    <row r="25" ht="23.25" customHeight="1" s="26">
      <c r="A25" s="47" t="inlineStr">
        <is>
          <t>DR-09</t>
        </is>
      </c>
      <c r="B25" s="47" t="inlineStr">
        <is>
          <t>Derivato</t>
        </is>
      </c>
      <c r="C25" s="47" t="inlineStr">
        <is>
          <t>Di notte il canale sCMOS deve dare SNR ≥ 10 su un quartiere da 20 nW/cm²/sr a 4,8 m e su un paese da 5 nW/cm²/sr a 14,4 m (binning 3×3).</t>
        </is>
      </c>
      <c r="D25" s="47" t="inlineStr">
        <is>
          <t>SNR ≥ 10</t>
        </is>
      </c>
      <c r="E25" s="47" t="inlineStr">
        <is>
          <t>Analisi radiometrica, poi test</t>
        </is>
      </c>
      <c r="F25" s="47" t="inlineStr">
        <is>
          <t>Approvato</t>
        </is>
      </c>
      <c r="G25" s="47" t="inlineStr">
        <is>
          <t>D-029, D-031 (A3), D-077 (A5)</t>
        </is>
      </c>
      <c r="H25" s="47" t="inlineStr">
        <is>
          <t>Giuseppe</t>
        </is>
      </c>
      <c r="I25" s="47" t="inlineStr">
        <is>
          <t>Modello senza luce diffusa e parassita: riserva 3×3 | 30/10/2026 (D-077): con il TMA in asse (D-076) quartiere 12 scatti (SNR 10,4), paese 3×3 10 scatti (SNR 11,3). | 30/10/2026 (D-089): con il telescopio RC (ombra 20%) quartiere 14 scatti (SNR 10,3), paese 3×3 10 scatti (SNR 10,2).</t>
        </is>
      </c>
    </row>
    <row r="26" ht="23.25" customHeight="1" s="26">
      <c r="A26" s="47" t="inlineStr">
        <is>
          <t>DR-10</t>
        </is>
      </c>
      <c r="B26" s="47" t="inlineStr">
        <is>
          <t>Derivato</t>
        </is>
      </c>
      <c r="C26" s="47" t="inlineStr">
        <is>
          <t>Durante ogni scatto notturno da 20 ms la deriva d'assetto deve restare sotto la soglia di mosso di 1/3 di pixel.</t>
        </is>
      </c>
      <c r="D26" s="47" t="inlineStr">
        <is>
          <t>&lt; 0,015°/s (mosso &lt; 5,2 µrad)</t>
        </is>
      </c>
      <c r="E26" s="47" t="inlineStr">
        <is>
          <t>Analisi + simulazione GNC</t>
        </is>
      </c>
      <c r="F26" s="47" t="inlineStr">
        <is>
          <t>Approvato</t>
        </is>
      </c>
      <c r="G26" s="47" t="inlineStr">
        <is>
          <t>D-030 (A3)</t>
        </is>
      </c>
      <c r="H26" s="47" t="inlineStr">
        <is>
          <t>Giuliano</t>
        </is>
      </c>
      <c r="I26" s="47" t="inlineStr">
        <is>
          <t>Da confermare con Giuliano in A5; se non raggiunta si passa al 3×3. A5.3 g): verificato in Fase A con la simulazione 1-asse (F2, banda 1 rad/s, giroscopio GY2); la simulazione 3-assi in Fase B lo riconferma</t>
        </is>
      </c>
    </row>
    <row r="27" ht="23.25" customHeight="1" s="26">
      <c r="A27" s="47" t="inlineStr">
        <is>
          <t>DR-11</t>
        </is>
      </c>
      <c r="B27" s="47" t="inlineStr">
        <is>
          <t>Derivato</t>
        </is>
      </c>
      <c r="C27" s="47" t="inlineStr">
        <is>
          <t>L'inseguimento FMC deve durare quanto la raccolta notturna, con margine.</t>
        </is>
      </c>
      <c r="D27" s="47" t="inlineStr">
        <is>
          <t>≥ 0,36 s (200 ms città, 300 ms paesi + 20%); angolo ≤ 0,42° a nadir</t>
        </is>
      </c>
      <c r="E27" s="47" t="inlineStr">
        <is>
          <t>Simulazione GNC</t>
        </is>
      </c>
      <c r="F27" s="47" t="inlineStr">
        <is>
          <t>Approvato</t>
        </is>
      </c>
      <c r="G27" s="47" t="inlineStr">
        <is>
          <t>D-030, D-031 (A3)</t>
        </is>
      </c>
      <c r="H27" s="47" t="inlineStr">
        <is>
          <t>Giuliano</t>
        </is>
      </c>
      <c r="I27" s="47" t="inlineStr">
        <is>
          <t>Esclusi puntamento e assestamento. A5.3 c): con il profilo F2 (D-044) l'inseguimento dura tutta la finestra (47,7 s a 30°), ben oltre 0,36 s. A5.3 g): verificato in Fase A con la simulazione 1-asse (F2, banda 1 rad/s, giroscopio GY2); la simulazione 3-assi in Fase B lo riconferma | 30/10/2026 (D-077): raccolta 240 ms città, 200 ms paesi (+20% = 0,29 s): il valore ≥ 0,36 s resta valido con più margine. | 30/10/2026 (D-089): raccolta 280 ms città, 200 ms paesi (+20% = 0,34 s): il valore ≥ 0,36 s resta valido.</t>
        </is>
      </c>
    </row>
    <row r="28" ht="23.25" customHeight="1" s="26">
      <c r="A28" s="47" t="inlineStr">
        <is>
          <t>DR-12</t>
        </is>
      </c>
      <c r="B28" s="47" t="inlineStr">
        <is>
          <t>Derivato</t>
        </is>
      </c>
      <c r="C28" s="47" t="inlineStr">
        <is>
          <t>Il sensore diurno deve permettere la somma di 4 passaggi nella striscia PAN (TDI digitale).</t>
        </is>
      </c>
      <c r="D28" s="47" t="inlineStr">
        <is>
          <t>≥ ~20 immagini/s</t>
        </is>
      </c>
      <c r="E28" s="47" t="inlineStr">
        <is>
          <t>Analisi, indagine di mercato</t>
        </is>
      </c>
      <c r="F28" s="47" t="inlineStr">
        <is>
          <t>Approvato</t>
        </is>
      </c>
      <c r="G28" s="47" t="inlineStr">
        <is>
          <t>D-032 (A3)</t>
        </is>
      </c>
      <c r="H28" s="47" t="inlineStr">
        <is>
          <t>Giuseppe</t>
        </is>
      </c>
      <c r="I28" s="47" t="inlineStr">
        <is>
          <t>Verifica sul mercato in A5 (R-22) | 30/10/2026 (D-096, Proposta): con il rallentamento ×2 bastano ~10 immagini/s; ≥ ~20 resta come capacità per il ripiego senza rallentamento.</t>
        </is>
      </c>
    </row>
    <row r="29" ht="23.25" customHeight="1" s="26">
      <c r="A29" s="47" t="inlineStr">
        <is>
          <t>DR-13</t>
        </is>
      </c>
      <c r="B29" s="47" t="inlineStr">
        <is>
          <t>Derivato</t>
        </is>
      </c>
      <c r="C29" s="47" t="inlineStr">
        <is>
          <t>La scheda di bordo deve sommare in tempo reale i passaggi diurni (TDI digitale) e gli scatti notturni mentre il sensore riprende; l'AI elabora dopo la somma, tra un bersaglio e l'altro</t>
        </is>
      </c>
      <c r="D29" s="47" t="inlineStr">
        <is>
          <t>Ingresso ~7,5 Gbit/s di giorno (628 Mpx/s), ~2,5 Gbit/s di notte (210 Mpx/s); uscita dopo la somma ~0,76 Gbit/s (pan + colori); memoria veloce per ≥ 4 scene sommate (~0,5 GB)</t>
        </is>
      </c>
      <c r="E29" s="47" t="inlineStr">
        <is>
          <t>Analisi, poi test</t>
        </is>
      </c>
      <c r="F29" s="47" t="inlineStr">
        <is>
          <t>TBC</t>
        </is>
      </c>
      <c r="G29" s="47" t="inlineStr">
        <is>
          <t>D-030, D-032 (A3), D-081 (A5.P3)</t>
        </is>
      </c>
      <c r="H29" s="47" t="inlineStr">
        <is>
          <t>Giuseppe</t>
        </is>
      </c>
      <c r="I29" s="47" t="inlineStr">
        <is>
          <t>Potenza e massa della scheda in A5. A5.4 (Giuliano, D-056 Proposta): il riallineamento diventa geometrico (orbita, assetto, DEM), non una traslazione: carico da valutare da Giuseppe 26/10/2026 (revisione A5): il caso più pesante è il diurno (~630 Mpixel/s letti dal sensore, ~7,5 Gbit/s a 12 bit); i ~470 Mbit/s di A3 vanno ricontrollati; valutare "entro il tempo tra due bersagli" invece di "in tempo reale" (A5 payload) | 30/10/2026 riscritto con D-081 (A5.P3): i ~470 Mbit/s di A3 erano il flusso dopo la somma del solo pancromatico; con i colori ~0,76 Gbit/s | 30/10/2026 (D-096, Proposta): con il rallentamento ×2 l'ingresso di giorno scende a ~3,7 Gbit/s.</t>
        </is>
      </c>
    </row>
    <row r="30" ht="23.25" customHeight="1" s="26">
      <c r="A30" s="47" t="inlineStr">
        <is>
          <t>DR-14</t>
        </is>
      </c>
      <c r="B30" s="47" t="inlineStr">
        <is>
          <t>Derivato</t>
        </is>
      </c>
      <c r="C30" s="47" t="inlineStr">
        <is>
          <t>Il baricentro del satellite deve stare entro ±45 mm (X, Y) e ±90 mm (Z) dal centro geometrico.</t>
        </is>
      </c>
      <c r="D30" s="47" t="inlineStr">
        <is>
          <t>±45 / ±45 / ±90 mm</t>
        </is>
      </c>
      <c r="E30" s="47" t="inlineStr">
        <is>
          <t>Analisi (modello di massa), poi misura</t>
        </is>
      </c>
      <c r="F30" s="47" t="inlineStr">
        <is>
          <t>TBC</t>
        </is>
      </c>
      <c r="G30" s="47" t="inlineStr">
        <is>
          <t>D-036 (A5)</t>
        </is>
      </c>
      <c r="H30" s="47" t="inlineStr">
        <is>
          <t>Entrambi</t>
        </is>
      </c>
      <c r="I30" s="47" t="inlineStr">
        <is>
          <t>Valori del manuale EXOpod Nova; telescopio (Giuseppe) e propulsione ~6 kg (Giuliano) sono le masse da bilanciare. A5.3 d): per l'ADCS vale il requisito più stretto DR-21 (D-047) | 30/10/2026 (D-114, Proposta): sistema di riferimento del satellite con origine nel centro geometrico, il limite si legge direttamente sulle coordinate</t>
        </is>
      </c>
    </row>
    <row r="31" ht="15" customHeight="1" s="26">
      <c r="A31" s="47" t="inlineStr">
        <is>
          <t>DR-15</t>
        </is>
      </c>
      <c r="B31" s="47" t="inlineStr">
        <is>
          <t>Derivato</t>
        </is>
      </c>
      <c r="C31" s="47" t="inlineStr">
        <is>
          <t>Durante le riprese l'errore di puntamento assoluto deve far cadere il bersaglio nella strisciata.</t>
        </is>
      </c>
      <c r="D31" s="47" t="inlineStr">
        <is>
          <t>APE ≤ 0,1°</t>
        </is>
      </c>
      <c r="E31" s="47" t="inlineStr">
        <is>
          <t>Analisi + simulazione GNC</t>
        </is>
      </c>
      <c r="F31" s="47" t="inlineStr">
        <is>
          <t>TBC</t>
        </is>
      </c>
      <c r="G31" s="47" t="inlineStr">
        <is>
          <t>D-041 (A5)</t>
        </is>
      </c>
      <c r="H31" s="47" t="inlineStr">
        <is>
          <t>Giuliano</t>
        </is>
      </c>
      <c r="I31" s="47" t="inlineStr">
        <is>
          <t>0,53 km a nadir, 1,14 km di traverso a 45° (11% della semi-strisciata). Eredità EarthNext. A5.3 g): bilancio caso peggiore 0,053° (controllo 0,021°, disturbo 0,010°, allineamento 0,020° allocato, star tracker 0,0014°). A5.4: 0,1° vale per le riprese; per gli altri modi vedi DR-27, DR-28, DR-29</t>
        </is>
      </c>
    </row>
    <row r="32" ht="15" customHeight="1" s="26">
      <c r="A32" s="47" t="inlineStr">
        <is>
          <t>DR-16</t>
        </is>
      </c>
      <c r="B32" s="47" t="inlineStr">
        <is>
          <t>Derivato</t>
        </is>
      </c>
      <c r="C32" s="47" t="inlineStr">
        <is>
          <t>Durante le riprese l'errore di conoscenza d'assetto deve permettere l'ortorettifica e l'allineamento con i vettori OSM.</t>
        </is>
      </c>
      <c r="D32" s="47" t="inlineStr">
        <is>
          <t>AKE ≤ 0,01°</t>
        </is>
      </c>
      <c r="E32" s="47" t="inlineStr">
        <is>
          <t>Analisi + simulazione GNC</t>
        </is>
      </c>
      <c r="F32" s="47" t="inlineStr">
        <is>
          <t>TBC</t>
        </is>
      </c>
      <c r="G32" s="47" t="inlineStr">
        <is>
          <t>D-042 (A5)</t>
        </is>
      </c>
      <c r="H32" s="47" t="inlineStr">
        <is>
          <t>Entrambi</t>
        </is>
      </c>
      <c r="I32" s="47" t="inlineStr">
        <is>
          <t>53 m a nadir (~35 pixel PAN), 114 m a 45°. Tolleranza dell'allineamento OSM da Giuseppe. A5.3 f): star tracker 5″ di traverso (0,0014°), margine per gli allineamenti (D-051). A5.3 g): bilancio 0,0096° con allocazione ≤ 0,008° all'allineamento telescopio–star tracker (calibrazione in volo su punti a terra, Fase B) 26/10/2026: tolleranza OSM confermata da Giuseppe (D-042 approvata)</t>
        </is>
      </c>
    </row>
    <row r="33" ht="15" customHeight="1" s="26">
      <c r="A33" s="47" t="inlineStr">
        <is>
          <t>DR-17</t>
        </is>
      </c>
      <c r="B33" s="47" t="inlineStr">
        <is>
          <t>Derivato</t>
        </is>
      </c>
      <c r="C33" s="47" t="inlineStr">
        <is>
          <t>Le immagini e i dati d'assetto e orbita devono avere tempi sincronizzati.</t>
        </is>
      </c>
      <c r="D33" s="47" t="inlineStr">
        <is>
          <t>≤ 0,1 ms</t>
        </is>
      </c>
      <c r="E33" s="47" t="inlineStr">
        <is>
          <t>Analisi, poi test</t>
        </is>
      </c>
      <c r="F33" s="47" t="inlineStr">
        <is>
          <t>TBC</t>
        </is>
      </c>
      <c r="G33" s="47" t="inlineStr">
        <is>
          <t>D-041, D-040 (A5)</t>
        </is>
      </c>
      <c r="H33" s="47" t="inlineStr">
        <is>
          <t>Giuliano</t>
        </is>
      </c>
      <c r="I33" s="47" t="inlineStr">
        <is>
          <t>1 ms = 7,4 m lungo traccia (5 pixel PAN) e 24 µrad in FMC (1,5 pixel notturni). PPS del GNSS. A5.3 f): ricevitore di classe SkyFox piNAV-NG (10 m, 24 g, 0,125 W): uscita PPS da verificare sul datasheet completo</t>
        </is>
      </c>
    </row>
    <row r="34" ht="15" customHeight="1" s="26">
      <c r="A34" s="47" t="inlineStr">
        <is>
          <t>DR-18</t>
        </is>
      </c>
      <c r="B34" s="47" t="inlineStr">
        <is>
          <t>Derivato</t>
        </is>
      </c>
      <c r="C34" s="47" t="inlineStr">
        <is>
          <t>Il giroscopio deve misurare la deriva d'assetto con precisione sufficiente alla correzione a bordo delle bande, del TDI e dello shift-and-add.</t>
        </is>
      </c>
      <c r="D34" s="47" t="inlineStr">
        <is>
          <t>ARW ≤ 0,01°/√h (errore angolare ≤ 2,8 µrad in 0,79 s)</t>
        </is>
      </c>
      <c r="E34" s="47" t="inlineStr">
        <is>
          <t>Analisi, poi datasheet / test</t>
        </is>
      </c>
      <c r="F34" s="47" t="inlineStr">
        <is>
          <t>TBC</t>
        </is>
      </c>
      <c r="G34" s="47" t="inlineStr">
        <is>
          <t>D-040, D-050 (A5)</t>
        </is>
      </c>
      <c r="H34" s="47" t="inlineStr">
        <is>
          <t>Giuliano</t>
        </is>
      </c>
      <c r="I34" s="47" t="inlineStr">
        <is>
          <t>A5.3 f): riformulato in ARW. Prima: errore di velocità ≤ ~0,0002°/s su ~1 s. GY2 (CRH03) 0,47 m; GY3 (KVH 1750) 0,94 m; GY1 (STIM300) 11,7 m | 30/10/2026 (D-101): con il rallentamento l'intervallo tra le bande è 1,58 s: ARW ammesso 0,0077°/√h (CRH03 0,006 ok, valore prudente 0,01 no) e fattore di scala ≤ ~80 ppm (DR-58)</t>
        </is>
      </c>
    </row>
    <row r="35" ht="15" customHeight="1" s="26">
      <c r="A35" s="47" t="inlineStr">
        <is>
          <t>DR-19</t>
        </is>
      </c>
      <c r="B35" s="47" t="inlineStr">
        <is>
          <t>Derivato</t>
        </is>
      </c>
      <c r="C35" s="47" t="inlineStr">
        <is>
          <t>Il satellite deve ruotare di 45° (slew) per puntare un nuovo bersaglio entro il tempo stabilito, assestamento escluso.</t>
        </is>
      </c>
      <c r="D35" s="47" t="inlineStr">
        <is>
          <t>45° in ≤ 60 s</t>
        </is>
      </c>
      <c r="E35" s="47" t="inlineStr">
        <is>
          <t>Analisi + simulazione GNC</t>
        </is>
      </c>
      <c r="F35" s="47" t="inlineStr">
        <is>
          <t>TBC</t>
        </is>
      </c>
      <c r="G35" s="47" t="inlineStr">
        <is>
          <t>D-045 (A5)</t>
        </is>
      </c>
      <c r="H35" s="47" t="inlineStr">
        <is>
          <t>Giuliano</t>
        </is>
      </c>
      <c r="I35" s="47" t="inlineStr">
        <is>
          <t>Coppia ≤ 1,0·10⁻³ N·m, picco 1,5°/s, momento ≤ 0,030 N·m·s con I = 1,14 kg·m²</t>
        </is>
      </c>
    </row>
    <row r="36" ht="15" customHeight="1" s="26">
      <c r="A36" s="47" t="inlineStr">
        <is>
          <t>DR-20</t>
        </is>
      </c>
      <c r="B36" s="47" t="inlineStr">
        <is>
          <t>Derivato</t>
        </is>
      </c>
      <c r="C36" s="47" t="inlineStr">
        <is>
          <t>Il controllo d'assetto deve inseguire la linea di vista nonostante l'incertezza d'inerzia, con anticipo di coppia basato sull'inerzia stimata in volo.</t>
        </is>
      </c>
      <c r="D36" s="47" t="inlineStr">
        <is>
          <t>banda ~1 rad/s; aggiornamento ≥ 10 Hz; inerzia stimata entro ~10%</t>
        </is>
      </c>
      <c r="E36" s="47" t="inlineStr">
        <is>
          <t>Simulazione GNC (1-asse in A, 3-assi in B), test in commissioning</t>
        </is>
      </c>
      <c r="F36" s="47" t="inlineStr">
        <is>
          <t>TBC</t>
        </is>
      </c>
      <c r="G36" s="47" t="inlineStr">
        <is>
          <t>D-046 (A5)</t>
        </is>
      </c>
      <c r="H36" s="47" t="inlineStr">
        <is>
          <t>Giuliano</t>
        </is>
      </c>
      <c r="I36" s="47" t="inlineStr">
        <is>
          <t>Errore d'inerzia del 7% verificato con banda 0,3 rad/s; banda da ricontrollare in Fase B con i modi flessibili dei pannelli</t>
        </is>
      </c>
    </row>
    <row r="37" ht="15" customHeight="1" s="26">
      <c r="A37" s="47" t="inlineStr">
        <is>
          <t>DR-21</t>
        </is>
      </c>
      <c r="B37" s="47" t="inlineStr">
        <is>
          <t>Derivato</t>
        </is>
      </c>
      <c r="C37" s="47" t="inlineStr">
        <is>
          <t>Il baricentro del satellite deve restare vicino alla linea di spinta e al centro di pressione aerodinamico per tutta la vita operativa, anche con lo iodio consumato.</t>
        </is>
      </c>
      <c r="D37" s="47" t="inlineStr">
        <is>
          <t>≤ 10 mm dalla linea di spinta; ≤ 20 mm dal centro di pressione</t>
        </is>
      </c>
      <c r="E37" s="47" t="inlineStr">
        <is>
          <t>Analisi (modello di massa), poi misura e bilanciamento</t>
        </is>
      </c>
      <c r="F37" s="47" t="inlineStr">
        <is>
          <t>TBC</t>
        </is>
      </c>
      <c r="G37" s="47" t="inlineStr">
        <is>
          <t>D-047 (A5)</t>
        </is>
      </c>
      <c r="H37" s="47" t="inlineStr">
        <is>
          <t>Entrambi</t>
        </is>
      </c>
      <c r="I37" s="47" t="inlineStr">
        <is>
          <t>Più stretto di DR-14 (limite del deployer). Coppia da spinta 1,1·10⁻⁵ N·m a 1,1 mN; aerodinamica 6,9·10⁻⁶ N·m alla densità dimensionante. Verifica in A5.7</t>
        </is>
      </c>
    </row>
    <row r="38" ht="15" customHeight="1" s="26">
      <c r="A38" s="47" t="inlineStr">
        <is>
          <t>DR-22</t>
        </is>
      </c>
      <c r="B38" s="47" t="inlineStr">
        <is>
          <t>Derivato</t>
        </is>
      </c>
      <c r="C38" s="47" t="inlineStr">
        <is>
          <t>Le ruote di reazione devono fornire il momento angolare per FMC o slew più la riserva per i disturbi tra due scarichi, anche con una ruota guasta.</t>
        </is>
      </c>
      <c r="D38" s="47" t="inlineStr">
        <is>
          <t>≥ 0,067 N·m·s per asse; coppia ≥ 3 mN·m</t>
        </is>
      </c>
      <c r="E38" s="47" t="inlineStr">
        <is>
          <t>Analisi, poi datasheet / test</t>
        </is>
      </c>
      <c r="F38" s="47" t="inlineStr">
        <is>
          <t>TBC</t>
        </is>
      </c>
      <c r="G38" s="47" t="inlineStr">
        <is>
          <t>D-048 (A5)</t>
        </is>
      </c>
      <c r="H38" s="47" t="inlineStr">
        <is>
          <t>Giuliano</t>
        </is>
      </c>
      <c r="I38" s="47" t="inlineStr">
        <is>
          <t>0,030 (FMC o slew, I = 1,14 kg·m²) + 0,037 (un'orbita di aria alla densità dimensionante, baricentro a 20 mm). W3: 0,163 nominale, 0,082 con una ruota guasta | 30/10/2026 (D-106): rollio fisso fuori dalle riprese → gradiente di gravità ~0,010 N·m·s per orbita (I 1,14/0,26, 40°), da scaricare con i magnetorquer; inerzie con le ali in A5.7 | 31/10/2026 (D-126): con le ali aperte (Ixx ~3,05 kg·m²) lo slew di rollio di 45° in 60 s chiede ~0,080 N·m·s, sopra 0,067: valore da rivedere in A5.7.8 (con una ruota guasta la piramide dà 0,082)</t>
        </is>
      </c>
    </row>
    <row r="39" ht="15" customHeight="1" s="26">
      <c r="A39" s="47" t="inlineStr">
        <is>
          <t>DR-23</t>
        </is>
      </c>
      <c r="B39" s="47" t="inlineStr">
        <is>
          <t>Derivato</t>
        </is>
      </c>
      <c r="C39" s="47" t="inlineStr">
        <is>
          <t>I magnetorquer devono scaricare le ruote durante la spinta e smorzare la rotazione iniziale dopo il rilascio.</t>
        </is>
      </c>
      <c r="D39" s="47" t="inlineStr">
        <is>
          <t>dipolo ≥ 2,5 A·m² per asse</t>
        </is>
      </c>
      <c r="E39" s="47" t="inlineStr">
        <is>
          <t>Analisi, poi datasheet / test</t>
        </is>
      </c>
      <c r="F39" s="47" t="inlineStr">
        <is>
          <t>TBC</t>
        </is>
      </c>
      <c r="G39" s="47" t="inlineStr">
        <is>
          <t>D-049 (A5)</t>
        </is>
      </c>
      <c r="H39" s="47" t="inlineStr">
        <is>
          <t>Giuliano</t>
        </is>
      </c>
      <c r="I39" s="47" t="inlineStr">
        <is>
          <t>Minimo 1,8 A·m² all'equatore; margine 40% per R-26. Detumbling da 10°/s (TBC) in ~1,4 orbite</t>
        </is>
      </c>
    </row>
    <row r="40" ht="15" customHeight="1" s="26">
      <c r="A40" s="47" t="inlineStr">
        <is>
          <t>DR-24</t>
        </is>
      </c>
      <c r="B40" s="47" t="inlineStr">
        <is>
          <t>Derivato</t>
        </is>
      </c>
      <c r="C40" s="47" t="inlineStr">
        <is>
          <t>Durante la ripresa diurna l'assetto deve seguire una legge di yaw steering che allinea il moto del terreno alle colonne del sensore.</t>
        </is>
      </c>
      <c r="D40" s="47" t="inlineStr">
        <is>
          <t>imbardata 2,4–2,9° (dalle effemeridi); residuo corretto a bordo</t>
        </is>
      </c>
      <c r="E40" s="47" t="inlineStr">
        <is>
          <t>Analisi + simulazione GNC</t>
        </is>
      </c>
      <c r="F40" s="47" t="inlineStr">
        <is>
          <t>TBC</t>
        </is>
      </c>
      <c r="G40" s="47" t="inlineStr">
        <is>
          <t>D-054 (A5)</t>
        </is>
      </c>
      <c r="H40" s="47" t="inlineStr">
        <is>
          <t>Giuliano</t>
        </is>
      </c>
      <c r="I40" s="47" t="inlineStr">
        <is>
          <t>Senza: 51 m (34 pixel) di traverso tra i passaggi TDI, 270 m tra PAN e ultima banda</t>
        </is>
      </c>
    </row>
    <row r="41" ht="15" customHeight="1" s="26">
      <c r="A41" s="47" t="inlineStr">
        <is>
          <t>DR-25</t>
        </is>
      </c>
      <c r="B41" s="47" t="inlineStr">
        <is>
          <t>Derivato</t>
        </is>
      </c>
      <c r="C41" s="47" t="inlineStr">
        <is>
          <t>Durante la FMC notturna fuori nadir la guida deve comandare l'imbardata che annulla la rotazione della scena attorno all'asse ottico, e la deriva casuale d'imbardata durante una raffica deve restare sotto la soglia di 1/3 di pixel all'angolo del campo.</t>
        </is>
      </c>
      <c r="D41" s="47" t="inlineStr">
        <is>
          <t>legge d'imbardata 0–0,56°/s (0,39°/s a 30°); deriva casuale ≤ 0,066°/s (raffica città 0,2 s), ≤ 0,088°/s (paesi 0,3 s)</t>
        </is>
      </c>
      <c r="E41" s="47" t="inlineStr">
        <is>
          <t>Analisi + simulazione GNC (3-assi in Fase B)</t>
        </is>
      </c>
      <c r="F41" s="47" t="inlineStr">
        <is>
          <t>TBC</t>
        </is>
      </c>
      <c r="G41" s="47" t="inlineStr">
        <is>
          <t>D-056 (A5)</t>
        </is>
      </c>
      <c r="H41" s="47" t="inlineStr">
        <is>
          <t>Giuliano</t>
        </is>
      </c>
      <c r="I41" s="47" t="inlineStr">
        <is>
          <t>Rotazione della scena = V·tanθ/(2R), verificata con il calcolo numerico. Momento ≤ 0,006 N·m·s. Con GY2 la deriva vera d'imbardata è ~0,0005°/s</t>
        </is>
      </c>
    </row>
    <row r="42" ht="15" customHeight="1" s="26">
      <c r="A42" s="47" t="inlineStr">
        <is>
          <t>DR-26</t>
        </is>
      </c>
      <c r="B42" s="47" t="inlineStr">
        <is>
          <t>Derivato</t>
        </is>
      </c>
      <c r="C42" s="47" t="inlineStr">
        <is>
          <t>Il riallineamento a bordo di bande RGB-NIR, passaggi TDI e scatti notturni deve usare un modello geometrico completo (orbita, assetto misurato, DEM di bordo), non una traslazione unica.</t>
        </is>
      </c>
      <c r="D42" s="47" t="inlineStr">
        <is>
          <t>residuo ≤ 1/3 pixel; DEM con errore verticale ≤ 20 m (TBC)</t>
        </is>
      </c>
      <c r="E42" s="47" t="inlineStr">
        <is>
          <t>Analisi, poi test con immagini simulate</t>
        </is>
      </c>
      <c r="F42" s="47" t="inlineStr">
        <is>
          <t>TBC</t>
        </is>
      </c>
      <c r="G42" s="47" t="inlineStr">
        <is>
          <t>D-056 (A5)</t>
        </is>
      </c>
      <c r="H42" s="47" t="inlineStr">
        <is>
          <t>Entrambi</t>
        </is>
      </c>
      <c r="I42" s="47" t="inlineStr">
        <is>
          <t>Stessa funzione di ortorettifica di MR-10. Errore verticale del DEM ammesso per le bande: ~49 m a nadir per 1/3 pixel colore; 20 m con margine. Con un DEM da ~4 m residuo 0,27 µrad | 30/10/2026 (D-101, Giuseppe): al modello geometrico si aggiunge come complemento la correlazione d'immagine tra le bande (correlazione di fase su riquadri): precisione ~0,1 pixel su scene con contorni, ~1 s a scena sul processore della scheda, &lt; 0,1 s su FPGA. Limiti: mare, nuvole e zone uniformi (lì vale il modello con il giroscopio, DR-58); il NIR inverte i contrasti, quindi si allinea al rosso e non alla PAN. Da provare con immagini simulate in Fase B</t>
        </is>
      </c>
    </row>
    <row r="43" ht="15" customHeight="1" s="26">
      <c r="A43" s="47" t="inlineStr">
        <is>
          <t>DR-27</t>
        </is>
      </c>
      <c r="B43" s="47" t="inlineStr">
        <is>
          <t>Derivato</t>
        </is>
      </c>
      <c r="C43" s="47" t="inlineStr">
        <is>
          <t>Durante la spinta la direzione di spinta deve restare vicina al vettore velocità.</t>
        </is>
      </c>
      <c r="D43" s="47" t="inlineStr">
        <is>
          <t>≤ 5° (TBC)</t>
        </is>
      </c>
      <c r="E43" s="47" t="inlineStr">
        <is>
          <t>Analisi</t>
        </is>
      </c>
      <c r="F43" s="47" t="inlineStr">
        <is>
          <t>TBC</t>
        </is>
      </c>
      <c r="G43" s="47" t="inlineStr">
        <is>
          <t>D-058 (A5)</t>
        </is>
      </c>
      <c r="H43" s="47" t="inlineStr">
        <is>
          <t>Giuliano</t>
        </is>
      </c>
      <c r="I43" s="47" t="inlineStr">
        <is>
          <t>5° = 0,38% del ΔV (0,85 m/s in vita). Disallineamento motore–assetto compreso</t>
        </is>
      </c>
    </row>
    <row r="44" ht="15" customHeight="1" s="26">
      <c r="A44" s="47" t="inlineStr">
        <is>
          <t>DR-28</t>
        </is>
      </c>
      <c r="B44" s="47" t="inlineStr">
        <is>
          <t>Derivato</t>
        </is>
      </c>
      <c r="C44" s="47" t="inlineStr">
        <is>
          <t>Se la banda X è adottata (A5.5.2), l'ADCS deve poter puntare e inseguire una stazione di terra durante un contatto; per comandi e telemetria non è richiesto (antenne quasi omnidirezionali, D-068).</t>
        </is>
      </c>
      <c r="D44" s="47" t="inlineStr">
        <is>
          <t>errore ≤ 1° (TBC)</t>
        </is>
      </c>
      <c r="E44" s="47" t="inlineStr">
        <is>
          <t>Analisi + simulazione GNC</t>
        </is>
      </c>
      <c r="F44" s="47" t="inlineStr">
        <is>
          <t>TBC</t>
        </is>
      </c>
      <c r="G44" s="47" t="inlineStr">
        <is>
          <t>D-058, D-068 (A5)</t>
        </is>
      </c>
      <c r="H44" s="47" t="inlineStr">
        <is>
          <t>Giuliano</t>
        </is>
      </c>
      <c r="I44" s="47" t="inlineStr">
        <is>
          <t>Uso deciso nel passo TT&amp;C con l'antenna: fissa a nadir con fascio ±60° resta il 29–37% del contatto, con ±70° il 97–98%. Riusa la guida di puntamento dei bersagli 30/10/2026 (D-068): riformulato, vale solo per la banda X. Costo verificato: linea di vista max 1,47°/s, 0,029 N·m·s, coppia 4,6·10⁻⁴ N·m, come la FMC (D-044). In questo modo niente spinta durante il contatto (R-14) e DR-37 da verificare (telescopio 2,6° sotto il bordo della Terra a 10° di elevazione). | 30/10/2026 (D-082): niente banda X, quindi l'inseguimento della stazione non serve; resta come capacità della guida, senza requisito di progetto.</t>
        </is>
      </c>
    </row>
    <row r="45">
      <c r="A45" s="47" t="inlineStr">
        <is>
          <t>DR-29</t>
        </is>
      </c>
      <c r="B45" s="47" t="inlineStr">
        <is>
          <t>Derivato</t>
        </is>
      </c>
      <c r="C45" s="47" t="inlineStr">
        <is>
          <t>In safe mode il satellite deve tenere i pannelli verso il Sole con un errore limitato e una conoscenza d'assetto grossolana.</t>
        </is>
      </c>
      <c r="D45" s="47" t="inlineStr">
        <is>
          <t>Sole ≤ 15° dalla normale dei pannelli; AKE ≤ 1° (TBC)</t>
        </is>
      </c>
      <c r="E45" s="47" t="inlineStr">
        <is>
          <t>Analisi + simulazione GNC</t>
        </is>
      </c>
      <c r="F45" s="47" t="inlineStr">
        <is>
          <t>TBC</t>
        </is>
      </c>
      <c r="G45" s="47" t="inlineStr">
        <is>
          <t>D-058 (A5)</t>
        </is>
      </c>
      <c r="H45" s="47" t="inlineStr">
        <is>
          <t>Giuliano</t>
        </is>
      </c>
      <c r="I45" s="47" t="inlineStr">
        <is>
          <t>15° → 96,6% della potenza. Valori come EarthNext (AKE &lt; 1° in detumbling). Ingresso per A5.6 | 30/10/2026 (D-106): in safe la faccia a zenit (ali) punta il Sole entro 15° | 30/10/2026 (A5.6.7): safe simulato con ali verso il Sole entro 15°: SoC minimo 84%, avanzo ~1.070 Wh/giorno</t>
        </is>
      </c>
    </row>
    <row r="46">
      <c r="A46" s="47" t="inlineStr">
        <is>
          <t>DR-30</t>
        </is>
      </c>
      <c r="B46" s="47" t="inlineStr">
        <is>
          <t>Derivato</t>
        </is>
      </c>
      <c r="C46" s="47" t="inlineStr">
        <is>
          <t>Le ruote di reazione devono avere sbilanciamento e posizione tali da tenere il jitter sotto DR-02, senza risonanze della struttura nella banda di velocità delle ruote.</t>
        </is>
      </c>
      <c r="D46" s="47" t="inlineStr">
        <is>
          <t>per ruota Us ≤ 1 g·mm, Ud ≤ 10 g·mm²; distanza dal baricentro ≤ 10 cm</t>
        </is>
      </c>
      <c r="E46" s="47" t="inlineStr">
        <is>
          <t>Datasheet / misura del costruttore, poi test di microvibrazione (Fase B)</t>
        </is>
      </c>
      <c r="F46" s="47" t="inlineStr">
        <is>
          <t>TBC</t>
        </is>
      </c>
      <c r="G46" s="47" t="inlineStr">
        <is>
          <t>D-059 (A5)</t>
        </is>
      </c>
      <c r="H46" s="47" t="inlineStr">
        <is>
          <t>Giuliano</t>
        </is>
      </c>
      <c r="I46" s="47" t="inlineStr">
        <is>
          <t>Stima a corpo rigido θ = (Ud + Us·d)/I. Sbilanciamento RWp100 non pubblicato: da chiedere a BCT</t>
        </is>
      </c>
    </row>
    <row r="47">
      <c r="A47" s="47" t="inlineStr">
        <is>
          <t>DR-31</t>
        </is>
      </c>
      <c r="B47" s="47" t="inlineStr">
        <is>
          <t>Derivato</t>
        </is>
      </c>
      <c r="C47" s="47" t="inlineStr">
        <is>
          <t>La catena notturna deve dichiarare "blackout" solo con calo di luce ≥ 70% rispetto al riferimento (fondo lunare tolto) su almeno 2 × 2 celle da 150 m (riferimento PULSE) o 2 × 2 pixel VIIRS (solo VIIRS); calo 40–70% = "calo parziale".</t>
        </is>
      </c>
      <c r="D47" s="47" t="inlineStr">
        <is>
          <t>≥ 70%; 300 × 300 m / ~1 × 1 km</t>
        </is>
      </c>
      <c r="E47" s="47" t="inlineStr">
        <is>
          <t>Analisi, poi test su blackout reali (Fase B)</t>
        </is>
      </c>
      <c r="F47" s="47" t="inlineStr">
        <is>
          <t>TBC</t>
        </is>
      </c>
      <c r="G47" s="47" t="inlineStr">
        <is>
          <t>D-064 (A4)</t>
        </is>
      </c>
      <c r="H47" s="47" t="inlineStr">
        <is>
          <t>Giuseppe</t>
        </is>
      </c>
      <c r="I47" s="47" t="inlineStr">
        <is>
          <t>Ipotesi: variazione tra notti ~20%, luci residue 10–20% (R-36)</t>
        </is>
      </c>
    </row>
    <row r="48">
      <c r="A48" s="47" t="inlineStr">
        <is>
          <t>DR-32</t>
        </is>
      </c>
      <c r="B48" s="47" t="inlineStr">
        <is>
          <t>Derivato</t>
        </is>
      </c>
      <c r="C48" s="47" t="inlineStr">
        <is>
          <t>Il fondo di luce lunare va stimato nella stessa immagine su zone vicine non illuminate, corretto con l'albedo del suolo, con errore limitato.</t>
        </is>
      </c>
      <c r="D48" s="47" t="inlineStr">
        <is>
          <t>errore ≤ 10% del fondo (TBC)</t>
        </is>
      </c>
      <c r="E48" s="47" t="inlineStr">
        <is>
          <t>Analisi, poi test</t>
        </is>
      </c>
      <c r="F48" s="47" t="inlineStr">
        <is>
          <t>TBC</t>
        </is>
      </c>
      <c r="G48" s="47" t="inlineStr">
        <is>
          <t>D-063 (A4)</t>
        </is>
      </c>
      <c r="H48" s="47" t="inlineStr">
        <is>
          <t>Giuseppe</t>
        </is>
      </c>
      <c r="I48" s="47" t="inlineStr">
        <is>
          <t>Con neve e luna i paesi sono "non confermabili"</t>
        </is>
      </c>
    </row>
    <row r="49">
      <c r="A49" s="47" t="inlineStr">
        <is>
          <t>DR-33</t>
        </is>
      </c>
      <c r="B49" s="47" t="inlineStr">
        <is>
          <t>Derivato</t>
        </is>
      </c>
      <c r="C49" s="47" t="inlineStr">
        <is>
          <t>A terra ogni zona candidata deve essere controllata con la maschera nuvole Meteosat MTG più vicina nel tempo al passaggio.</t>
        </is>
      </c>
      <c r="D49" s="47" t="inlineStr">
        <is>
          <t>entro ± 10 min</t>
        </is>
      </c>
      <c r="E49" s="47" t="inlineStr">
        <is>
          <t>Ispezione, test della catena a terra</t>
        </is>
      </c>
      <c r="F49" s="47" t="inlineStr">
        <is>
          <t>TBC</t>
        </is>
      </c>
      <c r="G49" s="47" t="inlineStr">
        <is>
          <t>D-062 (A4)</t>
        </is>
      </c>
      <c r="H49" s="47" t="inlineStr">
        <is>
          <t>Giuseppe</t>
        </is>
      </c>
      <c r="I49" s="47" t="inlineStr">
        <is>
          <t>Accesso ai dati EUMETSAT da verificare; nebbia: R-34</t>
        </is>
      </c>
    </row>
    <row r="50">
      <c r="A50" s="47" t="inlineStr">
        <is>
          <t>DR-34</t>
        </is>
      </c>
      <c r="B50" s="47" t="inlineStr">
        <is>
          <t>Derivato</t>
        </is>
      </c>
      <c r="C50" s="47" t="inlineStr">
        <is>
          <t>La memoria di bordo deve contenere, oltre a OSM e DEM, le mappe notturne VIIRS e una mappa di albedo per la conferma dei blackout.</t>
        </is>
      </c>
      <c r="D50" s="47" t="inlineStr">
        <is>
          <t>VIIRS ~22 MB a mappa (≥ 1 a stagione, fino a ~270 MB); albedo 100 m ~30 MB</t>
        </is>
      </c>
      <c r="E50" s="47" t="inlineStr">
        <is>
          <t>Analisi (budget dati A5)</t>
        </is>
      </c>
      <c r="F50" s="47" t="inlineStr">
        <is>
          <t>TBC</t>
        </is>
      </c>
      <c r="G50" s="47" t="inlineStr">
        <is>
          <t>D-061, D-065 (A4)</t>
        </is>
      </c>
      <c r="H50" s="47" t="inlineStr">
        <is>
          <t>Giuseppe</t>
        </is>
      </c>
      <c r="I50" s="47" t="inlineStr">
        <is>
          <t>Integra D-008 (DEM ~670 MB)</t>
        </is>
      </c>
    </row>
    <row r="51">
      <c r="A51" s="47" t="inlineStr">
        <is>
          <t>DR-35</t>
        </is>
      </c>
      <c r="B51" s="47" t="inlineStr">
        <is>
          <t>Derivato</t>
        </is>
      </c>
      <c r="C51" s="47" t="inlineStr">
        <is>
          <t>Per ogni zona notturna candidata il satellite deve scaricare i vettori e un ritaglio dell'immagine.</t>
        </is>
      </c>
      <c r="D51" s="47" t="inlineStr">
        <is>
          <t>~0,26 MB per 2 × 2 km a 4,8 m (12 bit)</t>
        </is>
      </c>
      <c r="E51" s="47" t="inlineStr">
        <is>
          <t>Analisi (link budget A5)</t>
        </is>
      </c>
      <c r="F51" s="47" t="inlineStr">
        <is>
          <t>TBC</t>
        </is>
      </c>
      <c r="G51" s="47" t="inlineStr">
        <is>
          <t>D-065 (A4)</t>
        </is>
      </c>
      <c r="H51" s="47" t="inlineStr">
        <is>
          <t>Entrambi</t>
        </is>
      </c>
      <c r="I51" s="47" t="inlineStr">
        <is>
          <t>Volume per notte da inserire nel budget dati (Giuliano) 26/10/2026 (D-065): zone candidate a terra entro ~10 min dalla ripresa (Svalbard 5,4–7,9 min dopo, Fucino ancora in vista). Priorità di scarico sopra le scene d'archivio (D-067). 30/10/2026 (D-069): una zona candidata da 0,26 MB passa in ~0,5 s a 4,3 Mbit/s.</t>
        </is>
      </c>
    </row>
    <row r="52" s="26">
      <c r="A52" s="47" t="inlineStr">
        <is>
          <t>DR-36</t>
        </is>
      </c>
      <c r="B52" s="47" t="inlineStr">
        <is>
          <t>Derivato</t>
        </is>
      </c>
      <c r="C52" s="47" t="inlineStr">
        <is>
          <t>La costellazione deve raccogliere e scaricare immagini notturne di riferimento (notti normali, senza luna forte e senza nuvole) su città e zone a rischio.</t>
        </is>
      </c>
      <c r="D52" s="47" t="inlineStr">
        <is>
          <t>~2–4 scene per satellite per notte (media ~2,7, stima), scaricate nello stesso contatto notturno (D-083)</t>
        </is>
      </c>
      <c r="E52" s="47" t="inlineStr">
        <is>
          <t>Analisi operativa</t>
        </is>
      </c>
      <c r="F52" s="47" t="inlineStr">
        <is>
          <t>TBC</t>
        </is>
      </c>
      <c r="G52" s="47" t="inlineStr">
        <is>
          <t>D-061, D-065 (A4), D-083 (A5)</t>
        </is>
      </c>
      <c r="H52" s="47" t="inlineStr">
        <is>
          <t>Entrambi</t>
        </is>
      </c>
      <c r="I52" s="47" t="inlineStr">
        <is>
          <t>Da pianificare con Giuliano (tempo notturno, manovre, scarico) 26/10/2026 (D-067): scarico in coda a bassa priorità entro 24 h; numero di scene per notte da fissare in A5.5 (stima 2–4 per satellite che attraversa l'Italia, TBC). | 30/10/2026 (D-083): limite dato dalla geometria del passaggio, non dallo scarico (contatto notturno 98–125 MB contro ~37 MB nel caso peggiore).</t>
        </is>
      </c>
    </row>
    <row r="53" s="26">
      <c r="A53" s="47" t="inlineStr">
        <is>
          <t>DR-37</t>
        </is>
      </c>
      <c r="B53" s="47" t="inlineStr">
        <is>
          <t>Derivato</t>
        </is>
      </c>
      <c r="C53" s="47" t="inlineStr">
        <is>
          <t>In nessun modo operativo (safe, detumbling, slew, spinta, contatti) il Sole deve entrare nel campo del telescopio; il coperchio dell'apertura resta chiuso in safe, durante la spinta e fino al commissioning.</t>
        </is>
      </c>
      <c r="D53" s="47" t="inlineStr">
        <is>
          <t>Con coperchio aperto Sole ≥ 52° dall'asse ottico (paraluce ~10 cm); in ripresa diurna il caso peggiore è ~65° (TBC)</t>
        </is>
      </c>
      <c r="E53" s="47" t="inlineStr">
        <is>
          <t>Analisi (geometria dei modi), poi simulazione GNC</t>
        </is>
      </c>
      <c r="F53" s="47" t="inlineStr">
        <is>
          <t>TBC</t>
        </is>
      </c>
      <c r="G53" s="47" t="inlineStr">
        <is>
          <t>D-058, D-034 (A5), D-079 (A5)</t>
        </is>
      </c>
      <c r="H53" s="47" t="inlineStr">
        <is>
          <t>Entrambi</t>
        </is>
      </c>
      <c r="I53" s="47" t="inlineStr">
        <is>
          <t>Sole focalizzato sul piano focale = sensori danneggiati. Valore dell'angolo dall'analisi di luce parassita (A5 payload / Fase B) | 30/10/2026 (D-079 approvata): con coperchio bloccato aperto (R-43) il safe deve tenere il telescopio ≥ 52° dal Sole: pannelli perpendicolari all'asse ottico (A5.6). | 30/10/2026 (D-106): con ali a zenit, in safe il telescopio guarda a ~180° dal Sole: DR-37 rispettato anche con coperchio bloccato aperto</t>
        </is>
      </c>
    </row>
    <row r="54" s="26">
      <c r="A54" s="47" t="inlineStr">
        <is>
          <t>DR-38</t>
        </is>
      </c>
      <c r="B54" s="47" t="inlineStr">
        <is>
          <t>Derivato</t>
        </is>
      </c>
      <c r="C54" s="47" t="inlineStr">
        <is>
          <t>La prima frequenza propria del telescopio (struttura e supporto del secondario) deve stare fuori dalla banda di velocità operative delle ruote di reazione.</t>
        </is>
      </c>
      <c r="D54" s="47" t="inlineStr">
        <is>
          <t>Valore TBD (Fase B)</t>
        </is>
      </c>
      <c r="E54" s="47" t="inlineStr">
        <is>
          <t>Analisi modale, poi prova di vibrazione</t>
        </is>
      </c>
      <c r="F54" s="47" t="inlineStr">
        <is>
          <t>TBD</t>
        </is>
      </c>
      <c r="G54" s="47" t="inlineStr">
        <is>
          <t>D-059 (A5)</t>
        </is>
      </c>
      <c r="H54" s="47" t="inlineStr">
        <is>
          <t>Giuseppe</t>
        </is>
      </c>
      <c r="I54" s="47" t="inlineStr">
        <is>
          <t>Insieme a DR-30 tiene il jitter sotto DR-02. In alternativa velocità operative delle ruote che evitano la risonanza</t>
        </is>
      </c>
    </row>
    <row r="55" s="26">
      <c r="A55" s="47" t="inlineStr">
        <is>
          <t>DR-39</t>
        </is>
      </c>
      <c r="B55" s="47" t="inlineStr">
        <is>
          <t>Derivato</t>
        </is>
      </c>
      <c r="C55" s="47" t="inlineStr">
        <is>
          <t>Per i bersagli notturni (blackout) la pianificazione deve prevedere una seconda ripresa con il satellite successivo quando entrambi i satelliti vedono il bersaglio entro il limite di puntamento e lo slot è libero.</t>
        </is>
      </c>
      <c r="D55" s="47" t="inlineStr">
        <is>
          <t>≤ 45° off-nadir; intervallo ~22 min (21,6–23,2)</t>
        </is>
      </c>
      <c r="E55" s="47" t="inlineStr">
        <is>
          <t>Analisi (GMAT), poi simulazione operativa (Fase B)</t>
        </is>
      </c>
      <c r="F55" s="47" t="inlineStr">
        <is>
          <t>TBC</t>
        </is>
      </c>
      <c r="G55" s="47" t="inlineStr">
        <is>
          <t>D-066 (A4)</t>
        </is>
      </c>
      <c r="H55" s="47" t="inlineStr">
        <is>
          <t>Giuliano</t>
        </is>
      </c>
      <c r="I55" s="47" t="inlineStr">
        <is>
          <t>Possibile nel 16% dei casi da prime riprese ≤ 30°, 28% da ≤ 45° (GMAT gen 2026). Seconda ripresa in modalità degradata (MR-05)</t>
        </is>
      </c>
    </row>
    <row r="56">
      <c r="A56" s="47" t="inlineStr">
        <is>
          <t>DR-40</t>
        </is>
      </c>
      <c r="B56" s="47" t="inlineStr">
        <is>
          <t>Derivato</t>
        </is>
      </c>
      <c r="C56" s="47" t="inlineStr">
        <is>
          <t>Il collegamento di comando e telemetria deve funzionare in qualunque assetto del satellite (riprese, spinta, safe, detumbling), senza puntare la stazione, per tutto il contatto sopra l'elevazione minima.</t>
        </is>
      </c>
      <c r="D56" s="47" t="inlineStr">
        <is>
          <t>copertura ≥ 95% del tempo di contatto sopra 10° (TBC); velocità minima dal link budget A5.5.4</t>
        </is>
      </c>
      <c r="E56" s="47" t="inlineStr">
        <is>
          <t>Analisi (diagrammi d'antenna, link budget), poi prova in camera anecoica (Fase C)</t>
        </is>
      </c>
      <c r="F56" s="47" t="inlineStr">
        <is>
          <t>TBC</t>
        </is>
      </c>
      <c r="G56" s="47" t="inlineStr">
        <is>
          <t>D-068 (A5)</t>
        </is>
      </c>
      <c r="H56" s="47" t="inlineStr">
        <is>
          <t>Giuliano</t>
        </is>
      </c>
      <c r="I56" s="47" t="inlineStr">
        <is>
          <t>Due antenne a basso guadagno nadir + zenit. Con ±70° dal nadir resta il 97–98% del contatto. Caso peggiore 10° di elevazione: 1.166 km, +11,7 dB rispetto allo zenit | 30/10/2026 (D-080): patch a nadir compatta ≤ 60 mm nella striscia di D-078; guadagno TBC, coperto dal margine di D-069.</t>
        </is>
      </c>
    </row>
    <row r="57">
      <c r="A57" s="47" t="inlineStr">
        <is>
          <t>DR-41</t>
        </is>
      </c>
      <c r="B57" s="47" t="inlineStr">
        <is>
          <t>Derivato</t>
        </is>
      </c>
      <c r="C57" s="47" t="inlineStr">
        <is>
          <t>Il collegamento di discesa in banda S deve garantire la velocità nominale per tutto il contatto sopra l'elevazione minima, con margine di collegamento ≥ 3 dB, e poter scendere a velocità più basse in volo.</t>
        </is>
      </c>
      <c r="D57" s="47" t="inlineStr">
        <is>
          <t>4,3 Mbit/s utili a 10° di elevazione, margine ≥ 3 dB (calcolato 7,8 dB)</t>
        </is>
      </c>
      <c r="E57" s="47" t="inlineStr">
        <is>
          <t>Analisi (link budget), poi prova di compatibilità con la stazione (Fase C)</t>
        </is>
      </c>
      <c r="F57" s="47" t="inlineStr">
        <is>
          <t>TBC</t>
        </is>
      </c>
      <c r="G57" s="47" t="inlineStr">
        <is>
          <t>D-069 (A5)</t>
        </is>
      </c>
      <c r="H57" s="47" t="inlineStr">
        <is>
          <t>Giuliano</t>
        </is>
      </c>
      <c r="I57" s="47" t="inlineStr">
        <is>
          <t>Calcolato con G/T 12,6 dB/K (KSAT 3,7 m): da rifare con le antenne reali delle stazioni scelte | 30/10/2026 (D-082): uso previsto &lt; 10% della capacità anche nel caso peggiore.</t>
        </is>
      </c>
    </row>
    <row r="58">
      <c r="A58" s="47" t="inlineStr">
        <is>
          <t>DR-42</t>
        </is>
      </c>
      <c r="B58" s="47" t="inlineStr">
        <is>
          <t>Derivato</t>
        </is>
      </c>
      <c r="C58" s="47" t="inlineStr">
        <is>
          <t>Per ogni allarme diurno il satellite deve scaricare il vettore e un ritaglio dell'immagine; oltre il peso della scena intera compressa si scarica la scena.</t>
        </is>
      </c>
      <c r="D58" s="47" t="inlineStr">
        <is>
          <t>~0,67 MB per 1 × 1 km (pan + 4 bande, senza perdita) + ~5–20 kB di vettore</t>
        </is>
      </c>
      <c r="E58" s="47" t="inlineStr">
        <is>
          <t>Analisi (link budget A5.5)</t>
        </is>
      </c>
      <c r="F58" s="47" t="inlineStr">
        <is>
          <t>TBC</t>
        </is>
      </c>
      <c r="G58" s="47" t="inlineStr">
        <is>
          <t>D-070 (A5)</t>
        </is>
      </c>
      <c r="H58" s="47" t="inlineStr">
        <is>
          <t>Entrambi</t>
        </is>
      </c>
      <c r="I58" s="47" t="n"/>
    </row>
    <row r="59">
      <c r="A59" s="47" t="inlineStr">
        <is>
          <t>DR-43</t>
        </is>
      </c>
      <c r="B59" s="47" t="inlineStr">
        <is>
          <t>Derivato</t>
        </is>
      </c>
      <c r="C59" s="47" t="inlineStr">
        <is>
          <t>La scheda di bordo deve comprimere le immagini prima dello scarico: senza perdita per ritagli d'allarme, scene notturne e calibrazione; quasi senza perdita per le scene diurne intere.</t>
        </is>
      </c>
      <c r="D59" s="47" t="inlineStr">
        <is>
          <t>~2:1 senza perdita; ~4:1 quasi senza perdita con errore ≤ 2 livelli su 4096 (TBC)</t>
        </is>
      </c>
      <c r="E59" s="47" t="inlineStr">
        <is>
          <t>Analisi, poi test su immagini simulate e reali</t>
        </is>
      </c>
      <c r="F59" s="47" t="inlineStr">
        <is>
          <t>TBC</t>
        </is>
      </c>
      <c r="G59" s="47" t="inlineStr">
        <is>
          <t>D-071 (A5)</t>
        </is>
      </c>
      <c r="H59" s="47" t="inlineStr">
        <is>
          <t>Giuseppe</t>
        </is>
      </c>
      <c r="I59" s="47" t="inlineStr">
        <is>
          <t>Carico di calcolo da includere in A5.P3 30/10/2026: ID rinumerato (era DR-40) per un conflitto di numerazione tra le due copie del registro.</t>
        </is>
      </c>
    </row>
    <row r="60">
      <c r="A60" s="47" t="inlineStr">
        <is>
          <t>DR-44</t>
        </is>
      </c>
      <c r="B60" s="47" t="inlineStr">
        <is>
          <t>Derivato</t>
        </is>
      </c>
      <c r="C60" s="47" t="inlineStr">
        <is>
          <t>Ogni satellite deve poter scaricare scene diurne intere per la verifica dell'AI, oltre ad allarmi e archivio notturno.</t>
        </is>
      </c>
      <c r="D60" s="47" t="inlineStr">
        <is>
          <t>4 scene/giorno (~124 MB) nei primi 3 mesi, poi 1 scena/giorno (~31 MB) (TBC)</t>
        </is>
      </c>
      <c r="E60" s="47" t="inlineStr">
        <is>
          <t>Analisi (link budget A5.5)</t>
        </is>
      </c>
      <c r="F60" s="47" t="inlineStr">
        <is>
          <t>TBC</t>
        </is>
      </c>
      <c r="G60" s="47" t="inlineStr">
        <is>
          <t>D-072 (A5)</t>
        </is>
      </c>
      <c r="H60" s="47" t="inlineStr">
        <is>
          <t>Entrambi</t>
        </is>
      </c>
      <c r="I60" s="47" t="inlineStr">
        <is>
          <t>30/10/2026: ID rinumerato (era DR-41) per un conflitto di numerazione tra le due copie del registro. | 30/10/2026 (D-072 approvata): "fino a 4" scene al giorno; media stimata 2,7.</t>
        </is>
      </c>
    </row>
    <row r="61">
      <c r="A61" s="47" t="inlineStr">
        <is>
          <t>DR-45</t>
        </is>
      </c>
      <c r="B61" s="47" t="inlineStr">
        <is>
          <t>Derivato</t>
        </is>
      </c>
      <c r="C61" s="47" t="inlineStr">
        <is>
          <t>La memoria di bordo deve gestire la coda di scarico per classi di priorità, con invecchiamento e ordine modificabile da terra.</t>
        </is>
      </c>
      <c r="D61" s="47" t="inlineStr">
        <is>
          <t>5 classi; un dato in coda &gt; 24 h sale di una classe</t>
        </is>
      </c>
      <c r="E61" s="47" t="inlineStr">
        <is>
          <t>Ispezione del software, test (Fase C)</t>
        </is>
      </c>
      <c r="F61" s="47" t="inlineStr">
        <is>
          <t>TBC</t>
        </is>
      </c>
      <c r="G61" s="47" t="inlineStr">
        <is>
          <t>D-073 (A5)</t>
        </is>
      </c>
      <c r="H61" s="47" t="inlineStr">
        <is>
          <t>Entrambi</t>
        </is>
      </c>
      <c r="I61" s="47" t="inlineStr">
        <is>
          <t>Allarmi sempre per primi 30/10/2026: ID rinumerato (era DR-42) per un conflitto di numerazione tra le due copie del registro.</t>
        </is>
      </c>
    </row>
    <row r="62">
      <c r="A62" s="47" t="inlineStr">
        <is>
          <t>DR-46</t>
        </is>
      </c>
      <c r="B62" s="47" t="inlineStr">
        <is>
          <t>Derivato</t>
        </is>
      </c>
      <c r="C62" s="47" t="inlineStr">
        <is>
          <t>Un comando di emergenza deve interrompere la spinta e portare il satellite in assetto di ripresa con il coperchio aperto in tempo per il passaggio.</t>
        </is>
      </c>
      <c r="D62" s="47" t="inlineStr">
        <is>
          <t>Spinta vietata da N min prima di una ripresa pianificata (N TBD dal termico)</t>
        </is>
      </c>
      <c r="E62" s="47" t="inlineStr">
        <is>
          <t>Analisi, poi simulazione operativa (Fase B)</t>
        </is>
      </c>
      <c r="F62" s="47" t="inlineStr">
        <is>
          <t>TBD</t>
        </is>
      </c>
      <c r="G62" s="47" t="inlineStr">
        <is>
          <t>D-074 (A5)</t>
        </is>
      </c>
      <c r="H62" s="47" t="inlineStr">
        <is>
          <t>Entrambi</t>
        </is>
      </c>
      <c r="I62" s="47" t="inlineStr">
        <is>
          <t>Spinta disponibile &gt; ~20 h/giorno anche con N = 90 min 30/10/2026: ID rinumerato (era DR-43) per un conflitto di numerazione tra le due copie del registro. | 30/10/2026 (D-099, Proposta): N = 30 min (TBC).</t>
        </is>
      </c>
    </row>
    <row r="63">
      <c r="A63" s="47" t="inlineStr">
        <is>
          <t>DR-47</t>
        </is>
      </c>
      <c r="B63" s="47" t="inlineStr">
        <is>
          <t>Derivato</t>
        </is>
      </c>
      <c r="C63" s="47" t="inlineStr">
        <is>
          <t>I comandi da terra devono essere autenticati e cifrati; il satellite esegue un piano a tempo per le 24 h successive, aggiornabile a ogni contatto.</t>
        </is>
      </c>
      <c r="D63" s="47" t="inlineStr">
        <is>
          <t>CCSDS SDLS (TBC); piano ≥ 24 h</t>
        </is>
      </c>
      <c r="E63" s="47" t="inlineStr">
        <is>
          <t>Ispezione, test (Fase C)</t>
        </is>
      </c>
      <c r="F63" s="47" t="inlineStr">
        <is>
          <t>TBC</t>
        </is>
      </c>
      <c r="G63" s="47" t="inlineStr">
        <is>
          <t>D-075 (A5)</t>
        </is>
      </c>
      <c r="H63" s="47" t="inlineStr">
        <is>
          <t>Giuliano</t>
        </is>
      </c>
      <c r="I63" s="47" t="inlineStr">
        <is>
          <t>Fucino riserva e comandi nei passaggi senza ripresa 30/10/2026: ID rinumerato (era DR-44) per un conflitto di numerazione tra le due copie del registro.</t>
        </is>
      </c>
    </row>
    <row r="64">
      <c r="A64" s="47" t="inlineStr">
        <is>
          <t>DR-48</t>
        </is>
      </c>
      <c r="B64" s="47" t="inlineStr">
        <is>
          <t>Derivato</t>
        </is>
      </c>
      <c r="C64" s="47" t="inlineStr">
        <is>
          <t>Gli allarmi diurni urgenti devono essere pronti per lo scarico verso Fucino entro la fine del contatto nello stesso passaggio sull'Italia, quando la finestra lo permette (obiettivo, non garanzia); gli allarmi notturni si scaricano al contatto con Svalbard successivo.</t>
        </is>
      </c>
      <c r="D64" s="47" t="inlineStr">
        <is>
          <t>Allarmi diurni pronti ≤ ~60 s dopo l'ultima ripresa (TBC); finestra Fucino residua di giorno 50–198 s (mediana 106–136 s, GMAT); notte: Svalbard entro 5–8 min</t>
        </is>
      </c>
      <c r="E64" s="47" t="inlineStr">
        <is>
          <t>Analisi (GMAT finestra Fucino), poi test sulla scheda (Fase B/C)</t>
        </is>
      </c>
      <c r="F64" s="47" t="inlineStr">
        <is>
          <t>TBC</t>
        </is>
      </c>
      <c r="G64" s="47" t="inlineStr">
        <is>
          <t>D-081 (A5.P3)</t>
        </is>
      </c>
      <c r="H64" s="47" t="inlineStr">
        <is>
          <t>Entrambi</t>
        </is>
      </c>
      <c r="I64" s="47" t="inlineStr">
        <is>
          <t>Giuseppe: tempo dell'AI; Giuliano: finestra di contatto con Fucino e ricezione in banda S | 30/10/2026 riscritto con D-081 approvata in G2 (Giuliano): di notte la finestra Fucino residua è 27–131 s (mediana 45–65 s), insufficiente dopo 60 s di AI.</t>
        </is>
      </c>
    </row>
    <row r="65">
      <c r="A65" s="47" t="inlineStr">
        <is>
          <t>DR-49</t>
        </is>
      </c>
      <c r="B65" s="47" t="inlineStr">
        <is>
          <t>Derivato</t>
        </is>
      </c>
      <c r="C65" s="47" t="inlineStr">
        <is>
          <t>Il satellite deve avere una seconda via di comando e telemetria, indipendente dalla catena S (radio e banda diverse), utilizzabile in safe e in qualunque assetto.</t>
        </is>
      </c>
      <c r="D65" s="47" t="inlineStr">
        <is>
          <t>UHF 400,15–401 MHz, 9.600 bit/s, margine ≥ 3 dB a 10° (calcolato 4,8 dB con G/T stimata)</t>
        </is>
      </c>
      <c r="E65" s="47" t="inlineStr">
        <is>
          <t>Analisi (link budget), poi prova di compatibilità con la stazione (Fase C)</t>
        </is>
      </c>
      <c r="F65" s="47" t="inlineStr">
        <is>
          <t>TBC</t>
        </is>
      </c>
      <c r="G65" s="47" t="inlineStr">
        <is>
          <t>D-082 (A5)</t>
        </is>
      </c>
      <c r="H65" s="47" t="inlineStr">
        <is>
          <t>Giuliano</t>
        </is>
      </c>
      <c r="I65" s="47" t="inlineStr">
        <is>
          <t>G/T delle stazioni UHF stimata (yagi 14 dBic, 1.000 K): da verificare con le stazioni reali | Salita in VHF 148–150,05 MHz, discesa UHF 400,15–401 MHz (D-082, nota A5.5.7).</t>
        </is>
      </c>
    </row>
    <row r="66">
      <c r="A66" s="47" t="inlineStr">
        <is>
          <t>DR-50</t>
        </is>
      </c>
      <c r="B66" s="47" t="inlineStr">
        <is>
          <t>Derivato</t>
        </is>
      </c>
      <c r="C66" s="47" t="inlineStr">
        <is>
          <t>Il satellite deve poter ricevere comandi in ogni momento: ricevitore S acceso nelle finestre di contatto previste, ricevitore VHF sempre acceso.</t>
        </is>
      </c>
      <c r="D66" s="47" t="inlineStr">
        <is>
          <t>Finestre S: contatti previsti con margine (~2,5 h/giorno, TBC); VHF continuo</t>
        </is>
      </c>
      <c r="E66" s="47" t="inlineStr">
        <is>
          <t>Analisi (profilo di potenza A5.6), poi test operativo (Fase C)</t>
        </is>
      </c>
      <c r="F66" s="47" t="inlineStr">
        <is>
          <t>TBC</t>
        </is>
      </c>
      <c r="G66" s="47" t="inlineStr">
        <is>
          <t>D-084 (A5)</t>
        </is>
      </c>
      <c r="H66" s="47" t="inlineStr">
        <is>
          <t>Giuliano</t>
        </is>
      </c>
      <c r="I66" s="47" t="inlineStr">
        <is>
          <t>Il ricevitore VHF copre le emergenze fuori dai contatti S previsti</t>
        </is>
      </c>
    </row>
    <row r="67">
      <c r="A67" s="47" t="inlineStr">
        <is>
          <t>DR-51</t>
        </is>
      </c>
      <c r="B67" s="47" t="inlineStr">
        <is>
          <t>Derivato</t>
        </is>
      </c>
      <c r="C67" s="47" t="inlineStr">
        <is>
          <t>Se il chip AI non funziona, la scheda deve continuare a sommare i passaggi e a mettere in coda le immagini per lo scarico (modo degradato senza AI)</t>
        </is>
      </c>
      <c r="D67" s="47" t="inlineStr">
        <is>
          <t>Somma e scarico disponibili con chip AI spento o guasto</t>
        </is>
      </c>
      <c r="E67" s="47" t="inlineStr">
        <is>
          <t>Analisi, poi test di guasto sulla scheda (Fase C)</t>
        </is>
      </c>
      <c r="F67" s="47" t="inlineStr">
        <is>
          <t>TBC</t>
        </is>
      </c>
      <c r="G67" s="47" t="inlineStr">
        <is>
          <t>D-085 (A5.P3)</t>
        </is>
      </c>
      <c r="H67" s="47" t="inlineStr">
        <is>
          <t>Giuseppe</t>
        </is>
      </c>
      <c r="I67" s="47" t="n"/>
    </row>
    <row r="68" s="26">
      <c r="A68" s="47" t="inlineStr">
        <is>
          <t>DR-52</t>
        </is>
      </c>
      <c r="B68" s="47" t="inlineStr">
        <is>
          <t>Derivato</t>
        </is>
      </c>
      <c r="C68" s="47" t="inlineStr">
        <is>
          <t>La scheda deve avere una memoria veloce per l'elaborazione e una memoria di massa non volatile per contenuti fissi, coda di scarico e calibrazione; i contenuti fissi critici devono stare in due copie</t>
        </is>
      </c>
      <c r="D68" s="47" t="inlineStr">
        <is>
          <t>RAM ≥ ~2 GB (TBC); flash 32 GB (bisogno ~5 GB, ~10 GB con margine); 2 copie di mappe, DEM e pesi della rete</t>
        </is>
      </c>
      <c r="E68" s="47" t="inlineStr">
        <is>
          <t>Analisi, poi ispezione e test (Fase B/C)</t>
        </is>
      </c>
      <c r="F68" s="47" t="inlineStr">
        <is>
          <t>TBC</t>
        </is>
      </c>
      <c r="G68" s="47" t="inlineStr">
        <is>
          <t>D-086 (A5.P3)</t>
        </is>
      </c>
      <c r="H68" s="47" t="inlineStr">
        <is>
          <t>Giuseppe</t>
        </is>
      </c>
      <c r="I68" s="47" t="n"/>
    </row>
    <row r="69" s="26">
      <c r="A69" s="47" t="inlineStr">
        <is>
          <t>DR-53</t>
        </is>
      </c>
      <c r="B69" s="47" t="inlineStr">
        <is>
          <t>Derivato</t>
        </is>
      </c>
      <c r="C69" s="47" t="inlineStr">
        <is>
          <t>La nitidezza di sistema del canale pancromatico (ottica × rivelatore, senza mosso) alla frequenza di Nyquist deve restare sopra una soglia su tutto il campo del sensore diurno.</t>
        </is>
      </c>
      <c r="D69" s="47" t="inlineStr">
        <is>
          <t>MTF di sistema a Nyquist pan (145 cicli/mm) ≥ 0,12 (TBC); calcolato 0,17 centro / 0,15 bordo / 0,13 angolo</t>
        </is>
      </c>
      <c r="E69" s="47" t="inlineStr">
        <is>
          <t>Analisi ottica (Fase A/B), poi misura in laboratorio (Fase C)</t>
        </is>
      </c>
      <c r="F69" s="47" t="inlineStr">
        <is>
          <t>TBC</t>
        </is>
      </c>
      <c r="G69" s="47" t="inlineStr">
        <is>
          <t>D-088 (A5.P4)</t>
        </is>
      </c>
      <c r="H69" s="47" t="inlineStr">
        <is>
          <t>Giuseppe</t>
        </is>
      </c>
      <c r="I69" s="47" t="inlineStr">
        <is>
          <t>Sostituisce il valore ~0,28 di A2 (calcolato senza ombra centrale). Il mosso e l'assetto (Giuliano) si aggiungono in A5.P5. Soglia da confermare con l'AI (rilevamento danni a 1,5 m) | 30/10/2026 (A5.P5, p5_mtf_sistema.py): con costruzione, fuoco, diffusione, jitter, riallineamento TDI e mosso: di traverso 0,10 / 0,10 / 0,08 (centro, bordo, angolo); lungo traccia 0,067 / 0,062 / 0,055 senza rallentamento, 0,094 / 0,087 / 0,078 con D-096. Notte ~0,27. La soglia di DR-53 resta senza mosso.</t>
        </is>
      </c>
    </row>
    <row r="70" s="26">
      <c r="A70" s="47" t="inlineStr">
        <is>
          <t>DR-54</t>
        </is>
      </c>
      <c r="B70" s="47" t="inlineStr">
        <is>
          <t>Derivato</t>
        </is>
      </c>
      <c r="C70" s="47" t="inlineStr">
        <is>
          <t>I sensori diurno e notturno (commerciali) devono essere provati alla radiazione prima del volo e protetti dal blocco da particella singola (latch-up).</t>
        </is>
      </c>
      <c r="D70" s="47" t="inlineStr">
        <is>
          <t>Dose totale ≥ 2 volte la dose di missione (dose di 2 anni a 302 km da calcolare in Fase B, stima pochi krad); prova a protoni e ioni pesanti; limitatore di corrente con spegnimento e riavvio automatico</t>
        </is>
      </c>
      <c r="E70" s="47" t="inlineStr">
        <is>
          <t>Prova (Fase B), analisi di dose (Fase B)</t>
        </is>
      </c>
      <c r="F70" s="47" t="inlineStr">
        <is>
          <t>TBC</t>
        </is>
      </c>
      <c r="G70" s="47" t="inlineStr">
        <is>
          <t>D-093, D-094 (A5.P5)</t>
        </is>
      </c>
      <c r="H70" s="47" t="inlineStr">
        <is>
          <t>Giuseppe</t>
        </is>
      </c>
      <c r="I70" s="47" t="inlineStr">
        <is>
          <t>Prove pubblicate solo su sensori parenti (GSENSE2020BSI 100 krad protoni; Sony IMX219 250 krad gamma)</t>
        </is>
      </c>
    </row>
    <row r="71" s="26">
      <c r="A71" s="47" t="inlineStr">
        <is>
          <t>DR-55</t>
        </is>
      </c>
      <c r="B71" s="47" t="inlineStr">
        <is>
          <t>Derivato</t>
        </is>
      </c>
      <c r="C71" s="47" t="inlineStr">
        <is>
          <t>Durante le riprese notturne il sensore notturno deve stare abbastanza freddo da tenere la corrente di buio entro il valore di A3.</t>
        </is>
      </c>
      <c r="D71" s="47" t="inlineStr">
        <is>
          <t>Temperatura del sensore ≤ ~0 °C (TBC) durante le riprese notturne; buio ≤ 3 e-/s/pixel</t>
        </is>
      </c>
      <c r="E71" s="47" t="inlineStr">
        <is>
          <t>Analisi termica (A5.P7), poi prova in termo-vuoto (Fase C)</t>
        </is>
      </c>
      <c r="F71" s="47" t="inlineStr">
        <is>
          <t>TBC</t>
        </is>
      </c>
      <c r="G71" s="47" t="inlineStr">
        <is>
          <t>D-094, D-095 (A5.P5)</t>
        </is>
      </c>
      <c r="H71" s="47" t="inlineStr">
        <is>
          <t>Giuseppe</t>
        </is>
      </c>
      <c r="I71" s="47" t="inlineStr">
        <is>
          <t>0,4 e-/s a −20 °C (costruttore), raddoppio ogni ~6,5 °C (regola tipica, TBC): 3 e-/s a ~0 °C, ~28 e-/s a +20 °C. Dopo la radiazione il buio cresce (R-52) | 30/10/2026 (D-106/D-107): in ripresa notturna con rollio di 45° verso il lato del Sole il radiatore vede la Terra al 69%: il sensore sale di ~3 K in 10 min, partendo freddo dall'attesa; requisito rispettato</t>
        </is>
      </c>
    </row>
    <row r="72" s="26">
      <c r="A72" s="47" t="inlineStr">
        <is>
          <t>DR-56</t>
        </is>
      </c>
      <c r="B72" s="47" t="inlineStr">
        <is>
          <t>Derivato</t>
        </is>
      </c>
      <c r="C72" s="47" t="inlineStr">
        <is>
          <t>Durante ogni scena diurna l'assetto deve eseguire un beccheggio all'indietro a velocità costante pari a circa metà della velocità angolare della linea di vista (slow-down), insieme allo yaw steering.</t>
        </is>
      </c>
      <c r="D72" s="47" t="inlineStr">
        <is>
          <t>~0,70°/s a nadir (0,50°/s a 45° di traverso, 0,35°/s a 45° lungo traccia), per ~2,6 s a scena; velocità nota con l'errore di DR-18 e stabile tra i passaggi TDI (residuo dopo riallineamento ≤ 1/3 pixel, DR-26) (TBC)</t>
        </is>
      </c>
      <c r="E72" s="47" t="inlineStr">
        <is>
          <t>Simulazione GNC (A5.7 / Fase B)</t>
        </is>
      </c>
      <c r="F72" s="47" t="inlineStr">
        <is>
          <t>TBC</t>
        </is>
      </c>
      <c r="G72" s="47" t="inlineStr">
        <is>
          <t>D-096 (A5.P5)</t>
        </is>
      </c>
      <c r="H72" s="47" t="inlineStr">
        <is>
          <t>Entrambi</t>
        </is>
      </c>
      <c r="I72" s="47" t="inlineStr">
        <is>
          <t>Valori: metà delle velocità della FMC notturna di A3 (1,4 / 1,0 / 0,7°/s). Giuliano: profilo e fattibilità; Giuseppe: rapporto di rallentamento e frequenza delle immagini | 30/10/2026 (D-101, Proposta): fattibile con le ruote e il controllo di A5.3. Ripresa 4,2 s per scena (2,6 s di scena + 1,58 s tra le bande), rotazione 2,9° a nadir (2,1° a 45° di traverso, 1,5° lungo traccia); rampa nello slew; fattore di scala DR-58 | 30/10/2026 Giuseppe: durata 4,2 s e rotazione 2,9° accettate (D-101 Approvata); conti di frame e dati invariati</t>
        </is>
      </c>
    </row>
    <row r="73" s="26">
      <c r="A73" s="47" t="inlineStr">
        <is>
          <t>DR-57</t>
        </is>
      </c>
      <c r="B73" s="47" t="inlineStr">
        <is>
          <t>Derivato</t>
        </is>
      </c>
      <c r="C73" s="47" t="inlineStr">
        <is>
          <t>Durante le riprese il telescopio deve restare vicino alla sua temperatura di regolazione, e i materiali devono avere dilatazione bassa, perché il fuoco resti entro DR-03.</t>
        </is>
      </c>
      <c r="D73" s="47" t="inlineStr">
        <is>
          <t>±11 K dalla temperatura di regolazione (~15–20 °C, TBC); specchi ≤ ~0,1 ppm/K; distanziali tra gli specchi in Invar (~1,2 ppm/K)</t>
        </is>
      </c>
      <c r="E73" s="47" t="inlineStr">
        <is>
          <t>Analisi termo-ottica (Fase B), prova in termo-vuoto con misura del fuoco (Fase C)</t>
        </is>
      </c>
      <c r="F73" s="47" t="inlineStr">
        <is>
          <t>TBC</t>
        </is>
      </c>
      <c r="G73" s="47" t="inlineStr">
        <is>
          <t>D-098, D-100 (A5.P7)</t>
        </is>
      </c>
      <c r="H73" s="47" t="inlineStr">
        <is>
          <t>Giuseppe</t>
        </is>
      </c>
      <c r="I73" s="47" t="inlineStr">
        <is>
          <t>Metà della tolleranza di DR-03 (±18,5 µm) assegnata al termico, l'altra metà a montaggio e gravità. Sensibilità 1,7 µm/K (fuoco_termico.py)</t>
        </is>
      </c>
    </row>
    <row r="74" s="26">
      <c r="A74" s="47" t="inlineStr">
        <is>
          <t>DR-58</t>
        </is>
      </c>
      <c r="B74" s="47" t="inlineStr">
        <is>
          <t>Derivato</t>
        </is>
      </c>
      <c r="C74" s="47" t="inlineStr">
        <is>
          <t>Durante la ripresa diurna con rallentamento il fattore di scala del giroscopio sull'asse di beccheggio deve essere noto abbastanza da tenere l'errore di conoscenza tra la PAN e l'ultima banda entro DR-18; va calibrato in volo contro lo star tracker alla velocità del rallentamento.</t>
        </is>
      </c>
      <c r="D74" s="47" t="inlineStr">
        <is>
          <t>≤ ~80 ppm (con ARW 0,006°/√h; ≤ 133 ppm da solo) a ~0,77°/s inerziali (TBC)</t>
        </is>
      </c>
      <c r="E74" s="47" t="inlineStr">
        <is>
          <t>Analisi, poi calibrazione al commissioning e periodica</t>
        </is>
      </c>
      <c r="F74" s="47" t="inlineStr">
        <is>
          <t>TBC</t>
        </is>
      </c>
      <c r="G74" s="47" t="inlineStr">
        <is>
          <t>D-101 (A5.4.4)</t>
        </is>
      </c>
      <c r="H74" s="47" t="inlineStr">
        <is>
          <t>Giuliano</t>
        </is>
      </c>
      <c r="I74" s="47" t="inlineStr">
        <is>
          <t>Errore = fs·ω·T: 100 ppm × 0,0134 rad/s × 1,58 s = 2,1 µrad (~0,6 m). Ad assetto fisso bastavano ~2.500 ppm. CRH03: ±0,15–0,3% sulla temperatura, non linearità 0,02–0,05% (datasheet rev 4)</t>
        </is>
      </c>
    </row>
    <row r="75" s="26">
      <c r="A75" s="47" t="inlineStr">
        <is>
          <t>DR-59</t>
        </is>
      </c>
      <c r="B75" s="47" t="inlineStr">
        <is>
          <t>Derivato</t>
        </is>
      </c>
      <c r="C75" s="47" t="inlineStr">
        <is>
          <t>L'ora locale del nodo discendente deve restare entro una tolleranza attorno alle 10:30 per tutta la vita operativa.</t>
        </is>
      </c>
      <c r="D75" s="47" t="inlineStr">
        <is>
          <t>Tolleranza TBD (A6); con 96,8° GMAT dà 10:30 → 9:56 in 2 anni</t>
        </is>
      </c>
      <c r="E75" s="47" t="inlineStr">
        <is>
          <t>Analisi di missione (GMAT)</t>
        </is>
      </c>
      <c r="F75" s="47" t="inlineStr">
        <is>
          <t>TBD</t>
        </is>
      </c>
      <c r="G75" s="47" t="inlineStr">
        <is>
          <t>D-103 (A5.6.2)</t>
        </is>
      </c>
      <c r="H75" s="47" t="inlineStr">
        <is>
          <t>Giuliano</t>
        </is>
      </c>
      <c r="I75" s="47" t="inlineStr">
        <is>
          <t>Promemoria da D-103 (opzione C): la tolleranza non era mai stata scritta. Da fissare in A6 insieme all'illuminazione minima delle riprese diurne</t>
        </is>
      </c>
    </row>
    <row r="76" s="26">
      <c r="A76" s="47" t="inlineStr">
        <is>
          <t>DR-60</t>
        </is>
      </c>
      <c r="B76" s="47" t="inlineStr">
        <is>
          <t>Derivato</t>
        </is>
      </c>
      <c r="C76" s="47" t="inlineStr">
        <is>
          <t>Il motore elettrico deve restare spento durante l'eclisse e durante la trasmissione in banda S; il software di bordo deve gestire automaticamente il passaggio tra spinta e contatto.</t>
        </is>
      </c>
      <c r="D76" s="47" t="inlineStr">
        <is>
          <t>Spinta solo in luce; 0 W di motore con TX S acceso</t>
        </is>
      </c>
      <c r="E76" s="47" t="inlineStr">
        <is>
          <t>Analisi (bilancio orbita per orbita), poi prova del software</t>
        </is>
      </c>
      <c r="F76" s="47" t="inlineStr">
        <is>
          <t>TBC</t>
        </is>
      </c>
      <c r="G76" s="47" t="inlineStr">
        <is>
          <t>D-105 (A5.6.4)</t>
        </is>
      </c>
      <c r="H76" s="47" t="inlineStr">
        <is>
          <t>Giuliano</t>
        </is>
      </c>
      <c r="I76" s="47" t="inlineStr">
        <is>
          <t>Eccezione da valutare: discesa iniziale (D-021) se la sola luce non basta | 30/10/2026 (A5.6.7): regola applicata nella simulazione dello stato di carica</t>
        </is>
      </c>
    </row>
    <row r="77" s="26">
      <c r="A77" s="47" t="inlineStr">
        <is>
          <t>DR-61</t>
        </is>
      </c>
      <c r="B77" s="47" t="inlineStr">
        <is>
          <t>Derivato</t>
        </is>
      </c>
      <c r="C77" s="47" t="inlineStr">
        <is>
          <t>Fuori dalle riprese (attesa e spinta) l'ADCS deve tenere un rollio fisso attorno alla velocità verso il lato del Sole, aggiornato con le stagioni, e scaricare con i magnetorquer il momento del gradiente di gravità che ne deriva.</t>
        </is>
      </c>
      <c r="D77" s="47" t="inlineStr">
        <is>
          <t>Rollio 31–52° (TBC, ottimo stagionale); coppia ~1,8·10⁻⁶ N·m a 40°</t>
        </is>
      </c>
      <c r="E77" s="47" t="inlineStr">
        <is>
          <t>Analisi (A5.6.5), poi simulazione ADCS 3-assi (Fase B)</t>
        </is>
      </c>
      <c r="F77" s="47" t="inlineStr">
        <is>
          <t>TBC</t>
        </is>
      </c>
      <c r="G77" s="47" t="inlineStr">
        <is>
          <t>D-106 (A5.6.5)</t>
        </is>
      </c>
      <c r="H77" s="47" t="inlineStr">
        <is>
          <t>Giuliano</t>
        </is>
      </c>
      <c r="I77" s="47" t="inlineStr">
        <is>
          <t>Errore di rollio ammesso da fissare in A5.6.6 (perdita di potenza ~1 − cos dell'errore) | 31/10/2026 (D-126): con le ali aperte l'asse di inerzia minima è Y: la coppia del rollio fisso cambia segno e sale a ~4,7·10⁻⁶ N·m a 40° (Iz−Iy ~2,3 kg·m²), da verificare in A5.7.8</t>
        </is>
      </c>
    </row>
    <row r="78" s="26">
      <c r="A78" s="47" t="inlineStr">
        <is>
          <t>DR-62</t>
        </is>
      </c>
      <c r="B78" s="47" t="inlineStr">
        <is>
          <t>Derivato</t>
        </is>
      </c>
      <c r="C78" s="47" t="inlineStr">
        <is>
          <t>L'insieme dei pannelli deve fornire a fine vita, alla temperatura di lavoro, la potenza necessaria per il giorno di routine con Sole medio.</t>
        </is>
      </c>
      <c r="D78" s="47" t="inlineStr">
        <is>
          <t>≥ 6 × 21,6 W = 130 W a Sole perpendicolare (fine vita, 70 °C); ≥ 74,5 W medi in luce in assetto D-106 (TBC)</t>
        </is>
      </c>
      <c r="E78" s="47" t="inlineStr">
        <is>
          <t>Analisi, poi misura dei pannelli (Fase C)</t>
        </is>
      </c>
      <c r="F78" s="47" t="inlineStr">
        <is>
          <t>TBC</t>
        </is>
      </c>
      <c r="G78" s="47" t="inlineStr">
        <is>
          <t>D-108 (A5.6.6)</t>
        </is>
      </c>
      <c r="H78" s="47" t="inlineStr">
        <is>
          <t>Giuliano</t>
        </is>
      </c>
      <c r="I78" s="47" t="inlineStr">
        <is>
          <t>Da rivedere con la data di lancio (Sole alto: 8 pannelli) | 30/10/2026 (D-107): con +1 W di riscaldatori la spinta sostenibile scende a 4,9 h/giorno, sopra le 4,2 necessarie | 30/10/2026 (A5.6.7): verificato con la simulazione dello stato di carica (routine: avanzo 136 Wh/giorno nel giorno peggiore)</t>
        </is>
      </c>
    </row>
    <row r="79" s="26">
      <c r="A79" s="47" t="inlineStr">
        <is>
          <t>DR-63</t>
        </is>
      </c>
      <c r="B79" s="47" t="inlineStr">
        <is>
          <t>Derivato</t>
        </is>
      </c>
      <c r="C79" s="47" t="inlineStr">
        <is>
          <t>La batteria deve coprire il caso peggiore al buio senza superare la profondità di scarica ammessa, anche con una stringa guasta, per tutta la vita.</t>
        </is>
      </c>
      <c r="D79" s="47" t="inlineStr">
        <is>
          <t>≥ 112 Wh nominali (4S3P); scarica ≤ 25% a fine vita, ≤ 35% con una stringa guasta</t>
        </is>
      </c>
      <c r="E79" s="47" t="inlineStr">
        <is>
          <t>Analisi (A5.6.6–A5.6.7), poi prova di cicli (Fase C)</t>
        </is>
      </c>
      <c r="F79" s="47" t="inlineStr">
        <is>
          <t>TBC</t>
        </is>
      </c>
      <c r="G79" s="47" t="inlineStr">
        <is>
          <t>D-109, D-111 (A5.6.6–A5.6.7)</t>
        </is>
      </c>
      <c r="H79" s="47" t="inlineStr">
        <is>
          <t>Giuliano</t>
        </is>
      </c>
      <c r="I79" s="47" t="inlineStr">
        <is>
          <t>Caso peggiore: orbita con ripresa notturna e contatto al buio, 16,2 Wh ai carichi con margini (A5.6.3) | 30/10/2026 (D-107): 21% a fine vita e 31% con una stringa guasta, appena sopra il 30% di questo requisito: valore da riconfermare con la simulazione di A5.6.7 (Giuliano) | 30/10/2026 (D-111): valore riscritto da ≤ 20%/≤ 30% a ≤ 25%/≤ 35%; simulazione A5.6.7: 20,4% e 30,7%</t>
        </is>
      </c>
    </row>
    <row r="80" s="26">
      <c r="A80" s="47" t="inlineStr">
        <is>
          <t>DR-64</t>
        </is>
      </c>
      <c r="B80" s="47" t="inlineStr">
        <is>
          <t>Derivato</t>
        </is>
      </c>
      <c r="C80" s="47" t="inlineStr">
        <is>
          <t>La piattaforma deve mantenere l'interno del satellite in un intervallo di temperatura compatibile con batteria e telescopio in tutti i modi (operazioni, spinta, safe).</t>
        </is>
      </c>
      <c r="D80" s="47" t="inlineStr">
        <is>
          <t>~15–25 °C (TBC) in operazioni (D-116, prima 15–20 °C); limiti dei componenti dai datasheet (batteria, motore, ruote, computer)</t>
        </is>
      </c>
      <c r="E80" s="47" t="inlineStr">
        <is>
          <t>Analisi termica (A5/Fase B), prova in termo-vuoto (Fase C)</t>
        </is>
      </c>
      <c r="F80" s="47" t="inlineStr">
        <is>
          <t>TBC</t>
        </is>
      </c>
      <c r="G80" s="47" t="inlineStr">
        <is>
          <t>D-110, D-116</t>
        </is>
      </c>
      <c r="H80" s="47" t="inlineStr">
        <is>
          <t>Giuseppe</t>
        </is>
      </c>
      <c r="I80" s="47" t="inlineStr">
        <is>
          <t>Valore proposto da Giuliano il 30/10/2026; i riscaldatori del telescopio (D-100) sono calcolati attorno a questo valore | 30/10/2026 (D-116, Proposta): limite alto portato a 25 °C per ridurre area del radiatore e riscaldatori; batteria in carica fino a +45 °C, telescopio regolato a ~20 °C ± 11 K (DR-57) | 31/10/2026 Giuliano: 15–25 °C approvato (D-116); dal lato di Giuliano batteria in carica 0/+45 °C, REGULUS −25/+70 °C; altri componenti dai datasheet in A5.7.2</t>
        </is>
      </c>
    </row>
    <row r="81" s="26">
      <c r="A81" s="47" t="inlineStr">
        <is>
          <t>DR-65</t>
        </is>
      </c>
      <c r="B81" s="47" t="inlineStr">
        <is>
          <t>Derivato</t>
        </is>
      </c>
      <c r="C81" s="47" t="inlineStr">
        <is>
          <t>Il software di bordo deve accendere il motore solo con stato di carica della batteria ≥ 90% e spegnerlo sotto l'80%, recuperando la spinta mancata nelle orbite successive.</t>
        </is>
      </c>
      <c r="D81" s="47" t="inlineStr">
        <is>
          <t>Accensione ≥ 90%, spegnimento &lt; 80% (TBC)</t>
        </is>
      </c>
      <c r="E81" s="47" t="inlineStr">
        <is>
          <t>Simulazione (A5.6.7), poi prova del software (Fase C)</t>
        </is>
      </c>
      <c r="F81" s="47" t="inlineStr">
        <is>
          <t>TBC</t>
        </is>
      </c>
      <c r="G81" s="47" t="inlineStr">
        <is>
          <t>D-112 (A5.6.7)</t>
        </is>
      </c>
      <c r="H81" s="47" t="inlineStr">
        <is>
          <t>Giuliano</t>
        </is>
      </c>
      <c r="I81" s="47" t="inlineStr">
        <is>
          <t>Sole alto: spinta ridotta a ~5,6 h/giorno con SoC minimo 73%</t>
        </is>
      </c>
    </row>
    <row r="82" s="26">
      <c r="A82" s="47" t="inlineStr">
        <is>
          <t>DR-66</t>
        </is>
      </c>
      <c r="B82" s="47" t="inlineStr">
        <is>
          <t>Derivato</t>
        </is>
      </c>
      <c r="C82" s="47" t="inlineStr">
        <is>
          <t>La gestione della potenza deve avere livelli di protezione della batteria a soglie di stato di carica (stop alle riprese, poi safe) definiti nell'analisi FDIR.</t>
        </is>
      </c>
      <c r="D82" s="47" t="inlineStr">
        <is>
          <t>Soglie TBD (indicative: 70% stop riprese, 50% safe)</t>
        </is>
      </c>
      <c r="E82" s="47" t="inlineStr">
        <is>
          <t>Analisi FDIR (Fase C)</t>
        </is>
      </c>
      <c r="F82" s="47" t="inlineStr">
        <is>
          <t>TBD</t>
        </is>
      </c>
      <c r="G82" s="47" t="inlineStr">
        <is>
          <t>D-112 (A5.6.7)</t>
        </is>
      </c>
      <c r="H82" s="47" t="inlineStr">
        <is>
          <t>Giuliano</t>
        </is>
      </c>
      <c r="I82" s="47" t="inlineStr">
        <is>
          <t>Requisito per la Fase C (opzione C di D-112)</t>
        </is>
      </c>
    </row>
    <row r="83" s="26">
      <c r="A83" s="47" t="inlineStr">
        <is>
          <t>DR-67</t>
        </is>
      </c>
      <c r="B83" s="47" t="inlineStr">
        <is>
          <t>Derivato</t>
        </is>
      </c>
      <c r="C83" s="47" t="inlineStr">
        <is>
          <t>Il consumo dell'iodio non deve spostare il baricentro dalla linea di spinta oltre un valore che lasci margine a DR-21 per le altre tolleranze, per tutta la vita operativa.</t>
        </is>
      </c>
      <c r="D83" s="47" t="inlineStr">
        <is>
          <t>≤ ±5,5 mm attorno alla linea di spinta (linea di spinta sul baricentro a metà vita); serbatoio a ~100 mm dalla linea (bozza A5.7.4: 4,8 mm a iodio pieno, 5,3 mm a vuoto)</t>
        </is>
      </c>
      <c r="E83" s="47" t="inlineStr">
        <is>
          <t>Analisi (A5.7.7), poi disegno meccanico (Fase B)</t>
        </is>
      </c>
      <c r="F83" s="47" t="inlineStr">
        <is>
          <t>TBC</t>
        </is>
      </c>
      <c r="G83" s="47" t="inlineStr">
        <is>
          <t>D-117, D-118 (A5.7.3), D-124 (A5.7.4)</t>
        </is>
      </c>
      <c r="H83" s="47" t="inlineStr">
        <is>
          <t>Giuliano</t>
        </is>
      </c>
      <c r="I83" s="47" t="inlineStr">
        <is>
          <t>Spostamento = m_iodio × distanza / massa a vuoto; con il baricentro sulla linea a metà vita resta ±2,6 mm | 31/10/2026 (D-124): riscritto sul baricentro; valore precedente: ≤ ~70 mm dalla linea di spinta (2,04 kg di iodio: spostamento ≤ 5,1 mm da pieno a vuoto su 30 kg)</t>
        </is>
      </c>
    </row>
    <row r="84" s="26">
      <c r="A84" s="47" t="inlineStr">
        <is>
          <t>DR-68</t>
        </is>
      </c>
      <c r="B84" s="47" t="inlineStr">
        <is>
          <t>Derivato</t>
        </is>
      </c>
      <c r="C84" s="47" t="inlineStr">
        <is>
          <t>I riscaldatori della piattaforma devono stare entro l'energia che il bilancio di potenza lascia libera senza ridurre la spinta necessaria nel giorno peggiore di routine.</t>
        </is>
      </c>
      <c r="D84" s="47" t="inlineStr">
        <is>
          <t>≤ 4 W medi al bus, margini compresi (≈ 2,8 W nominali), giorno peggiore di routine (fine maggio, Sole medio, 4,2 h di spinta)</t>
        </is>
      </c>
      <c r="E84" s="47" t="inlineStr">
        <is>
          <t>Analisi (modello termico a nodi A5.8.3 + simulazione dello stato di carica A5.6.7), prova in termo-vuoto (Fase C)</t>
        </is>
      </c>
      <c r="F84" s="47" t="inlineStr">
        <is>
          <t>TBC</t>
        </is>
      </c>
      <c r="G84" s="47" t="inlineStr">
        <is>
          <t>D-116 (A5.7, approvazione di Giuliano)</t>
        </is>
      </c>
      <c r="H84" s="47" t="inlineStr">
        <is>
          <t>Giuseppe</t>
        </is>
      </c>
      <c r="I84" s="47" t="inlineStr">
        <is>
          <t>Limite di calcolo 4,4 W (4,3 h di spinta sostenibili). Nei giorni senza spinta e in safe vale il bilancio del giorno (11 W e 9 W chiudono). Se non rispettato: radiatore a persiane (D-116), R-58</t>
        </is>
      </c>
    </row>
    <row r="85" s="26">
      <c r="A85" s="47" t="inlineStr">
        <is>
          <t>DR-69</t>
        </is>
      </c>
      <c r="B85" s="47" t="inlineStr">
        <is>
          <t>Derivato</t>
        </is>
      </c>
      <c r="C85" s="47" t="inlineStr">
        <is>
          <t>Gli attacchi delle ali solari al corpo (cerniere, sganci, cavi) devono essere isolati termicamente, perché le ali (da −70 a +54 °C) non sottraggano calore all'interno.</t>
        </is>
      </c>
      <c r="D85" s="47" t="inlineStr">
        <is>
          <t>≤ 0,1 W/K in tutto per le 6 ali (TBC)</t>
        </is>
      </c>
      <c r="E85" s="47" t="inlineStr">
        <is>
          <t>Analisi (A5.8), misura della conduttanza in Fase C</t>
        </is>
      </c>
      <c r="F85" s="47" t="inlineStr">
        <is>
          <t>TBC</t>
        </is>
      </c>
      <c r="G85" s="47" t="inlineStr">
        <is>
          <t>D-122 (A5.8.4)</t>
        </is>
      </c>
      <c r="H85" s="47" t="inlineStr">
        <is>
          <t>Giuliano</t>
        </is>
      </c>
      <c r="I85" s="47" t="inlineStr">
        <is>
          <t>Con 0,3 W/K i riscaldatori della routine d'estate salgono a ~6 W (oltre DR-68). Rondelle isolanti (es. G10, PEEK) sulle cerniere | 31/10/2026 Giuliano: accettato (responsabile Giuliano, struttura); rondelle isolanti sulle cerniere e sganci da prevedere in A5.7.5 | 31/10/2026 (D-126): 4 cerniere sul corpo (2 per lato, sullo spigolo alto delle facce ±Y) più gli sganci, che toccano il corpo solo con le ali chiuse</t>
        </is>
      </c>
    </row>
    <row r="86" s="26">
      <c r="A86" s="47" t="inlineStr">
        <is>
          <t>DR-70</t>
        </is>
      </c>
      <c r="B86" s="47" t="inlineStr">
        <is>
          <t>Derivato</t>
        </is>
      </c>
      <c r="C86" s="47" t="inlineStr">
        <is>
          <t>Il radiatore della piattaforma deve smaltire il calore interno nel caso caldo tenendo l'interno entro DR-64.</t>
        </is>
      </c>
      <c r="D86" s="47" t="inlineStr">
        <is>
          <t>≥ 600 cm² sulla faccia −Y (TBC); α ≤ 0,35 a fine vita, ε ≥ 0,85; collegamento con l'interno ≥ 2 W/K</t>
        </is>
      </c>
      <c r="E86" s="47" t="inlineStr">
        <is>
          <t>Analisi (modello a nodi A5.8.3, poi Fase B), prova in termo-vuoto (Fase C)</t>
        </is>
      </c>
      <c r="F86" s="47" t="inlineStr">
        <is>
          <t>TBC</t>
        </is>
      </c>
      <c r="G86" s="47" t="inlineStr">
        <is>
          <t>D-122 (A5.8.4)</t>
        </is>
      </c>
      <c r="H86" s="47" t="inlineStr">
        <is>
          <t>Giuseppe</t>
        </is>
      </c>
      <c r="I86" s="47" t="inlineStr">
        <is>
          <t>Vernice bianca resistente all'ossigeno atomico e alle radiazioni UV (prove come EarthNext/Material4Cubesat in Fase B) | 31/10/2026 Giuliano: accettato; posizione dell'elettronica contro la −Y da decidere in A5.7.4 | 31/10/2026 (D-125): pila delle schede (computer di bordo, radio, PCDU) di taglio contro la parete −Y con squadrette di alluminio: ~1 W/K per scheda (stima), ~4 W/K in tutto prima delle resistenze di contatto (TBC) | 31/10/2026 (A5.8.7, D-128): con la pila contro la −Y bastano anche 2 W/K (pila 7–27 °C); il collegamento del resto è DR-72</t>
        </is>
      </c>
    </row>
    <row r="87" s="26">
      <c r="A87" s="47" t="inlineStr">
        <is>
          <t>DR-71</t>
        </is>
      </c>
      <c r="B87" s="47" t="inlineStr">
        <is>
          <t>Derivato</t>
        </is>
      </c>
      <c r="C87" s="47" t="inlineStr">
        <is>
          <t>Le ali solari devono sopportare le temperature che raggiungono in orbita, al buio e al Sole, anche quando le celle non producono (batteria piena).</t>
        </is>
      </c>
      <c r="D87" s="47" t="inlineStr">
        <is>
          <t>Qualifica ≥ −80…+85 °C (TBC): previsto −70…+72 °C (A5.8.5) più ~10 K di margine</t>
        </is>
      </c>
      <c r="E87" s="47" t="inlineStr">
        <is>
          <t>Analisi (A5.8.5, poi Fase B), prova di cicli termici dei pannelli (Fase C)</t>
        </is>
      </c>
      <c r="F87" s="47" t="inlineStr">
        <is>
          <t>TBC</t>
        </is>
      </c>
      <c r="G87" s="47" t="inlineStr">
        <is>
          <t>A5.8.5 (D-122)</t>
        </is>
      </c>
      <c r="H87" s="47" t="inlineStr">
        <is>
          <t>Giuliano</t>
        </is>
      </c>
      <c r="I87" s="47" t="inlineStr">
        <is>
          <t>Il CSV di A5.7.2 dà −40/+80 °C in funzione per la classe AAC Photon/ISIS: da verificare con il fornitore. Retro delle ali verniciato (ε ~0,85): con alluminio lucido il buio scende a ~−86 °C. A ~54 °C (celle che producono) la potenza è ~5% sopra il valore a 70 °C di D-108 (stima) | 31/10/2026 Giuliano: accettato. Il −40 °C del CSV di A5.7.2 è l'intervallo in funzione della famiglia di pannelli AAC Photon (FR4, −40/+80 °C), non delle celle; GomSpace DSP −60/+80 °C, ISIS −40/+125 °C: nessun catalogo arriva a −70 °C, la qualifica va chiesta al fornitore</t>
        </is>
      </c>
    </row>
    <row r="88">
      <c r="A88" s="47" t="inlineStr">
        <is>
          <t>DR-72</t>
        </is>
      </c>
      <c r="B88" s="47" t="inlineStr">
        <is>
          <t>Derivato</t>
        </is>
      </c>
      <c r="C88" s="47" t="inlineStr">
        <is>
          <t>Il calore dei componenti lontani dal radiatore (blocco motore REGULUS, ruote, giroscopio, batteria) deve arrivare alla parete −Y del radiatore attraverso la struttura, perché l'interno resti entro DR-64 nel caso caldo.</t>
        </is>
      </c>
      <c r="D88" s="47" t="inlineStr">
        <is>
          <t>Resto → parete −Y ≥ 1 W/K e pila delle schede ↔ resto ≥ 1 W/K (TBC)</t>
        </is>
      </c>
      <c r="E88" s="47" t="inlineStr">
        <is>
          <t>Analisi (modello a due nodi A5.8.7, poi modello termico dettagliato in Fase B), misura delle conduttanze in Fase C</t>
        </is>
      </c>
      <c r="F88" s="47" t="inlineStr">
        <is>
          <t>TBC</t>
        </is>
      </c>
      <c r="G88" s="47" t="inlineStr">
        <is>
          <t>D-128 (A5.8.7)</t>
        </is>
      </c>
      <c r="H88" s="47" t="inlineStr">
        <is>
          <t>Giuliano</t>
        </is>
      </c>
      <c r="I88" s="47" t="inlineStr">
        <is>
          <t>Esempio: staffa di alluminio 5 × 80 mm dal supporto del motore (Y ≈ −41 mm) alla parete −Y (~70 mm) ≈ 1 W/K, ~80 g (stima). Con 0,3 W/K il resto supera 25 °C con il motore a 20 W</t>
        </is>
      </c>
    </row>
  </sheetData>
  <autoFilter ref="A1:I200"/>
  <conditionalFormatting sqref="A2:I200">
    <cfRule type="expression" rank="0" priority="2" equalAverage="0" aboveAverage="0" dxfId="6" text="" percent="0" bottom="0">
      <formula>$F2="TBC"</formula>
    </cfRule>
    <cfRule type="expression" rank="0" priority="3" equalAverage="0" aboveAverage="0" dxfId="5" text="" percent="0" bottom="0">
      <formula>$F2="TBD"</formula>
    </cfRule>
    <cfRule type="expression" rank="0" priority="4" equalAverage="0" aboveAverage="0" dxfId="7" text="" percent="0" bottom="0">
      <formula>$F2="Da riscrivere"</formula>
    </cfRule>
    <cfRule type="expression" rank="0" priority="5" equalAverage="0" aboveAverage="0" dxfId="8" text="" percent="0" bottom="0">
      <formula>$F2="Superato"</formula>
    </cfRule>
  </conditionalFormatting>
  <dataValidations count="3">
    <dataValidation sqref="B2:B200" showDropDown="0" showInputMessage="0" showErrorMessage="0" allowBlank="1" error="Scegli un valore dalla lista" type="list" errorStyle="stop" operator="between">
      <formula1>Liste!$H$2:$H$4</formula1>
      <formula2>0</formula2>
    </dataValidation>
    <dataValidation sqref="F2:F200" showDropDown="0" showInputMessage="0" showErrorMessage="0" allowBlank="1" error="Scegli un valore dalla lista" type="list" errorStyle="stop" operator="between">
      <formula1>Liste!$E$2:$E$6</formula1>
      <formula2>0</formula2>
    </dataValidation>
    <dataValidation sqref="H2:H200" showDropDown="0" showInputMessage="0" showErrorMessage="0" allowBlank="1" error="Scegli un valore dalla lista" type="list" errorStyle="stop" operator="between">
      <formula1>Liste!$B$2:$B$4</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M6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7" customWidth="1" style="25" min="1" max="1"/>
    <col width="38" customWidth="1" style="25" min="2" max="2"/>
    <col width="28" customWidth="1" style="25" min="3" max="3"/>
    <col width="12" customWidth="1" style="25" min="4" max="4"/>
    <col width="11" customWidth="1" style="25" min="5" max="5"/>
    <col width="12" customWidth="1" style="25" min="6" max="6"/>
    <col width="36" customWidth="1" style="25" min="7" max="7"/>
    <col width="12" customWidth="1" style="25" min="8" max="8"/>
    <col width="7" customWidth="1" style="25" min="9" max="9"/>
    <col width="13" customWidth="1" style="25" min="10" max="10"/>
    <col width="14" customWidth="1" style="25" min="11" max="11"/>
    <col width="12" customWidth="1" style="25" min="12" max="12"/>
    <col width="26" customWidth="1" style="25" min="13" max="13"/>
  </cols>
  <sheetData>
    <row r="1" ht="30" customHeight="1" s="26">
      <c r="A1" s="44" t="inlineStr">
        <is>
          <t>ID</t>
        </is>
      </c>
      <c r="B1" s="44" t="inlineStr">
        <is>
          <t>Rischio</t>
        </is>
      </c>
      <c r="C1" s="44" t="inlineStr">
        <is>
          <t>Effetto</t>
        </is>
      </c>
      <c r="D1" s="44" t="inlineStr">
        <is>
          <t>Probabilità</t>
        </is>
      </c>
      <c r="E1" s="44" t="inlineStr">
        <is>
          <t>Impatto</t>
        </is>
      </c>
      <c r="F1" s="44" t="inlineStr">
        <is>
          <t>Criticità (1–9)</t>
        </is>
      </c>
      <c r="G1" s="44" t="inlineStr">
        <is>
          <t>Mitigazione</t>
        </is>
      </c>
      <c r="H1" s="44" t="inlineStr">
        <is>
          <t>Passo di verifica</t>
        </is>
      </c>
      <c r="I1" s="44" t="inlineStr">
        <is>
          <t>TRL</t>
        </is>
      </c>
      <c r="J1" s="44" t="inlineStr">
        <is>
          <t>Responsabile</t>
        </is>
      </c>
      <c r="K1" s="44" t="inlineStr">
        <is>
          <t>Stato</t>
        </is>
      </c>
      <c r="L1" s="44" t="inlineStr">
        <is>
          <t>Origine</t>
        </is>
      </c>
      <c r="M1" s="44" t="inlineStr">
        <is>
          <t>Note</t>
        </is>
      </c>
    </row>
    <row r="2" ht="23.25" customHeight="1" s="26">
      <c r="A2" s="47" t="inlineStr">
        <is>
          <t>R-01</t>
        </is>
      </c>
      <c r="B2" s="47" t="inlineStr">
        <is>
          <t>Il TMA con focale ~0,7 m non entra nel volume del 16U</t>
        </is>
      </c>
      <c r="C2" s="47" t="inlineStr">
        <is>
          <t>Ottica da rifare o piattaforma più grande</t>
        </is>
      </c>
      <c r="D2" s="47" t="inlineStr">
        <is>
          <t>Media</t>
        </is>
      </c>
      <c r="E2" s="47" t="inlineStr">
        <is>
          <t>Alta</t>
        </is>
      </c>
      <c r="F2" s="50">
        <f>IF(OR(D2="",E2=""),"",MATCH(D2,{"Bassa","Media","Alta"},0)*MATCH(E2,{"Bassa","Media","Alta"},0))</f>
        <v/>
      </c>
      <c r="G2" s="47" t="inlineStr">
        <is>
          <t>Ottica ripiegata; confronto con gli 8U dell'imager di EarthNext</t>
        </is>
      </c>
      <c r="H2" s="47" t="inlineStr">
        <is>
          <t>A5</t>
        </is>
      </c>
      <c r="I2" s="47" t="inlineStr">
        <is>
          <t>~5</t>
        </is>
      </c>
      <c r="J2" s="47" t="inlineStr">
        <is>
          <t>Giuseppe</t>
        </is>
      </c>
      <c r="K2" s="47" t="inlineStr">
        <is>
          <t>In mitigazione</t>
        </is>
      </c>
      <c r="L2" s="47" t="inlineStr">
        <is>
          <t>Fase 0</t>
        </is>
      </c>
      <c r="M2" s="47" t="inlineStr">
        <is>
          <t>A2: focale 0,70 m confermata ripiegabile nel TMA. 26/10/2026: apertura 120 mm (EarthNext ~83 mm) &gt; 113 mm di mezza sezione 16U: il telescopio occupa probabilmente la sezione intera vicino al primario; stima di volume e posizione in A5 payload | 30/10/2026 (A5.P2): un TMA fuori asse da 12 cm scalato da EarthNext occuperebbe ~12–14U: scelto TMA in asse (D-076, ~14 × 14 × 20 cm, ~4U).</t>
        </is>
      </c>
    </row>
    <row r="3" ht="23.25" customHeight="1" s="26">
      <c r="A3" s="47" t="inlineStr">
        <is>
          <t>R-02</t>
        </is>
      </c>
      <c r="B3" s="47" t="inlineStr">
        <is>
          <t>SNR notturno troppo basso</t>
        </is>
      </c>
      <c r="C3" s="47" t="inlineStr">
        <is>
          <t>Blackout e incendi non rilevabili</t>
        </is>
      </c>
      <c r="D3" s="47" t="inlineStr">
        <is>
          <t>Media</t>
        </is>
      </c>
      <c r="E3" s="47" t="inlineStr">
        <is>
          <t>Alta</t>
        </is>
      </c>
      <c r="F3" s="50">
        <f>IF(OR(D3="",E3=""),"",MATCH(D3,{"Bassa","Media","Alta"},0)*MATCH(E3,{"Bassa","Media","Alta"},0))</f>
        <v/>
      </c>
      <c r="G3" s="47" t="inlineStr">
        <is>
          <t>FMC quasi totale, binning, sCMOS dual-gain; bilancio radiometrico</t>
        </is>
      </c>
      <c r="H3" s="47" t="inlineStr">
        <is>
          <t>A3</t>
        </is>
      </c>
      <c r="I3" s="47" t="inlineStr">
        <is>
          <t>~4</t>
        </is>
      </c>
      <c r="J3" s="47" t="inlineStr">
        <is>
          <t>Giuseppe</t>
        </is>
      </c>
      <c r="K3" s="47" t="inlineStr">
        <is>
          <t>In mitigazione</t>
        </is>
      </c>
      <c r="L3" s="47" t="inlineStr">
        <is>
          <t>Fase 0</t>
        </is>
      </c>
      <c r="M3" s="47" t="inlineStr">
        <is>
          <t>A3: SNR 10 su quartiere a 4,8 m e paesi a 9,6 m; riserva 3×3 (SNR 12,3)</t>
        </is>
      </c>
    </row>
    <row r="4" ht="23.25" customHeight="1" s="26">
      <c r="A4" s="47" t="inlineStr">
        <is>
          <t>R-03</t>
        </is>
      </c>
      <c r="B4" s="47" t="inlineStr">
        <is>
          <t>Non si riesce a distinguere un blackout da una nuvola</t>
        </is>
      </c>
      <c r="C4" s="47" t="inlineStr">
        <is>
          <t>MR-07 non rispettato</t>
        </is>
      </c>
      <c r="D4" s="47" t="inlineStr">
        <is>
          <t>Alta</t>
        </is>
      </c>
      <c r="E4" s="47" t="inlineStr">
        <is>
          <t>Alta</t>
        </is>
      </c>
      <c r="F4" s="50">
        <f>IF(OR(D4="",E4=""),"",MATCH(D4,{"Bassa","Media","Alta"},0)*MATCH(E4,{"Bassa","Media","Alta"},0))</f>
        <v/>
      </c>
      <c r="G4" s="47" t="inlineStr">
        <is>
          <t>Immagine "prima", dati meteo, Luna, rivisita</t>
        </is>
      </c>
      <c r="H4" s="47" t="inlineStr">
        <is>
          <t>A4</t>
        </is>
      </c>
      <c r="I4" s="47" t="n"/>
      <c r="J4" s="47" t="inlineStr">
        <is>
          <t>Giuseppe</t>
        </is>
      </c>
      <c r="K4" s="47" t="inlineStr">
        <is>
          <t>In mitigazione</t>
        </is>
      </c>
      <c r="L4" s="47" t="inlineStr">
        <is>
          <t>Fase 0</t>
        </is>
      </c>
      <c r="M4" s="47" t="inlineStr">
        <is>
          <t>A4 (D-060…D-065): riferimento VIIRS + archivio PULSE, doppio controllo nuvole (bordo + MTG), fondo lunare sottratto, soglia 70%, etichetta "non confermabile". Rischi residui: R-34, R-35, R-36</t>
        </is>
      </c>
    </row>
    <row r="5" ht="23.25" customHeight="1" s="26">
      <c r="A5" s="47" t="inlineStr">
        <is>
          <t>R-04</t>
        </is>
      </c>
      <c r="B5" s="47" t="inlineStr">
        <is>
          <t>Troppi falsi allarmi dell'AI (ombre, stagioni, cantieri)</t>
        </is>
      </c>
      <c r="C5" s="47" t="inlineStr">
        <is>
          <t>Prodotto poco affidabile</t>
        </is>
      </c>
      <c r="D5" s="47" t="inlineStr">
        <is>
          <t>Media</t>
        </is>
      </c>
      <c r="E5" s="47" t="inlineStr">
        <is>
          <t>Alta</t>
        </is>
      </c>
      <c r="F5" s="50">
        <f>IF(OR(D5="",E5=""),"",MATCH(D5,{"Bassa","Media","Alta"},0)*MATCH(E5,{"Bassa","Media","Alta"},0))</f>
        <v/>
      </c>
      <c r="G5" s="47" t="inlineStr">
        <is>
          <t>Test su dataset pubblici (es. xBD); soglie di confidenza</t>
        </is>
      </c>
      <c r="H5" s="47" t="inlineStr">
        <is>
          <t>Fase B</t>
        </is>
      </c>
      <c r="I5" s="47" t="inlineStr">
        <is>
          <t>~3–4</t>
        </is>
      </c>
      <c r="J5" s="47" t="inlineStr">
        <is>
          <t>Giuseppe</t>
        </is>
      </c>
      <c r="K5" s="47" t="inlineStr">
        <is>
          <t>Aperto</t>
        </is>
      </c>
      <c r="L5" s="47" t="inlineStr">
        <is>
          <t>Fase 0</t>
        </is>
      </c>
      <c r="M5" s="47" t="n"/>
    </row>
    <row r="6" ht="15" customHeight="1" s="26">
      <c r="A6" s="47" t="inlineStr">
        <is>
          <t>R-05</t>
        </is>
      </c>
      <c r="B6" s="47" t="inlineStr">
        <is>
          <t>Ortorettifica imprecisa off-nadir in montagna</t>
        </is>
      </c>
      <c r="C6" s="47" t="inlineStr">
        <is>
          <t>Vettori fuori posizione</t>
        </is>
      </c>
      <c r="D6" s="47" t="inlineStr">
        <is>
          <t>Media</t>
        </is>
      </c>
      <c r="E6" s="47" t="inlineStr">
        <is>
          <t>Media</t>
        </is>
      </c>
      <c r="F6" s="50">
        <f>IF(OR(D6="",E6=""),"",MATCH(D6,{"Bassa","Media","Alta"},0)*MATCH(E6,{"Bassa","Media","Alta"},0))</f>
        <v/>
      </c>
      <c r="G6" s="47" t="inlineStr">
        <is>
          <t>DEM a bordo; conoscenza d'assetto precisa</t>
        </is>
      </c>
      <c r="H6" s="47" t="inlineStr">
        <is>
          <t>Fase B</t>
        </is>
      </c>
      <c r="I6" s="47" t="n"/>
      <c r="J6" s="47" t="inlineStr">
        <is>
          <t>Entrambi</t>
        </is>
      </c>
      <c r="K6" s="47" t="inlineStr">
        <is>
          <t>Aperto</t>
        </is>
      </c>
      <c r="L6" s="47" t="inlineStr">
        <is>
          <t>Fase 0</t>
        </is>
      </c>
      <c r="M6" s="47" t="n"/>
    </row>
    <row r="7" ht="23.25" customHeight="1" s="26">
      <c r="A7" s="47" t="inlineStr">
        <is>
          <t>R-06</t>
        </is>
      </c>
      <c r="B7" s="47" t="inlineStr">
        <is>
          <t>Slew fino a 45° e FMC notturna oltre le capacità delle ruote</t>
        </is>
      </c>
      <c r="C7" s="47" t="inlineStr">
        <is>
          <t>Riprese perse o degradate</t>
        </is>
      </c>
      <c r="D7" s="47" t="inlineStr">
        <is>
          <t>Media</t>
        </is>
      </c>
      <c r="E7" s="47" t="inlineStr">
        <is>
          <t>Media</t>
        </is>
      </c>
      <c r="F7" s="50">
        <f>IF(OR(D7="",E7=""),"",MATCH(D7,{"Bassa","Media","Alta"},0)*MATCH(E7,{"Bassa","Media","Alta"},0))</f>
        <v/>
      </c>
      <c r="G7" s="47" t="inlineStr">
        <is>
          <t>Simulazione GNC; 45° è già modalità degradata</t>
        </is>
      </c>
      <c r="H7" s="47" t="inlineStr">
        <is>
          <t>A5</t>
        </is>
      </c>
      <c r="I7" s="47" t="inlineStr">
        <is>
          <t>~5–6</t>
        </is>
      </c>
      <c r="J7" s="47" t="inlineStr">
        <is>
          <t>Giuliano</t>
        </is>
      </c>
      <c r="K7" s="47" t="inlineStr">
        <is>
          <t>In mitigazione</t>
        </is>
      </c>
      <c r="L7" s="47" t="inlineStr">
        <is>
          <t>Fase 0</t>
        </is>
      </c>
      <c r="M7" s="47" t="inlineStr">
        <is>
          <t>A3: deriva &lt; 0,015°/s per scatto, inseguimento 0,36 s (DR-10, DR-11). A5.3 c): simulazione 1-asse, F2 rispetta DR-10 con banda 1 rad/s (D-044, D-046); F1 a 7 mN·m satura la ruota di prova con inerzia massima. A5.3 d): disturbi fino a 10⁻⁴ N·m non cambiano il mosso; il rischio vero è la saturazione in spinta (R-26). A5.3 g): DR-10 e DR-11 verificati in Fase A; da riconfermare con la 3-assi in Fase B. A5.4.3: DR-08 chiuso con la simulazione (assestamento ≤ 2,6 s dopo il commissioning, D-057)</t>
        </is>
      </c>
    </row>
    <row r="8" ht="23.25" customHeight="1" s="26">
      <c r="A8" s="47" t="inlineStr">
        <is>
          <t>R-07</t>
        </is>
      </c>
      <c r="B8" s="47" t="inlineStr">
        <is>
          <t>Potenza insufficiente per AI + motore + manovre</t>
        </is>
      </c>
      <c r="C8" s="47" t="inlineStr">
        <is>
          <t>Conflitti operativi</t>
        </is>
      </c>
      <c r="D8" s="47" t="inlineStr">
        <is>
          <t>Media</t>
        </is>
      </c>
      <c r="E8" s="47" t="inlineStr">
        <is>
          <t>Media</t>
        </is>
      </c>
      <c r="F8" s="50">
        <f>IF(OR(D8="",E8=""),"",MATCH(D8,{"Bassa","Media","Alta"},0)*MATCH(E8,{"Bassa","Media","Alta"},0))</f>
        <v/>
      </c>
      <c r="G8" s="47" t="inlineStr">
        <is>
          <t>Separare nel tempo AI e spinta; budget di potenza</t>
        </is>
      </c>
      <c r="H8" s="47" t="inlineStr">
        <is>
          <t>A5</t>
        </is>
      </c>
      <c r="I8" s="47" t="n"/>
      <c r="J8" s="47" t="inlineStr">
        <is>
          <t>Entrambi</t>
        </is>
      </c>
      <c r="K8" s="47" t="inlineStr">
        <is>
          <t>In mitigazione</t>
        </is>
      </c>
      <c r="L8" s="47" t="inlineStr">
        <is>
          <t>Fase 0</t>
        </is>
      </c>
      <c r="M8" s="47" t="inlineStr">
        <is>
          <t xml:space="preserve"> | 30/10/2026 (A5.6.3–A5.6.4): payload ~1% dell'energia giornaliera; dominano base sempre accesa (~58%) e spinta (36–51%). D-105 separa spinta, eclisse e trasmissione: picco ~86 W con margini | 30/10/2026 (A5.6.7): simulazione dello stato di carica: routine ed emergenza con SoC ≥ 79,6% e avanzo ≥ 119 Wh/giorno; spinta senza scaricare la batteria | 30/10/2026 (A5.6.8): passa a In mitigazione: spinta separata da eclisse e trasmissioni (D-105), 6 ali con rollio fisso (D-106, D-108), batteria 4S3P (D-109), regola 90/80% (D-112); resta il caso Sole alto (R-56)</t>
        </is>
      </c>
    </row>
    <row r="9" ht="23.25" customHeight="1" s="26">
      <c r="A9" s="47" t="inlineStr">
        <is>
          <t>R-08</t>
        </is>
      </c>
      <c r="B9" s="47" t="inlineStr">
        <is>
          <t>48 h non rispettate per nuvole o pochi contatti</t>
        </is>
      </c>
      <c r="C9" s="47" t="inlineStr">
        <is>
          <t>MR-02 non rispettato</t>
        </is>
      </c>
      <c r="D9" s="47" t="inlineStr">
        <is>
          <t>Media</t>
        </is>
      </c>
      <c r="E9" s="47" t="inlineStr">
        <is>
          <t>Media</t>
        </is>
      </c>
      <c r="F9" s="50">
        <f>IF(OR(D9="",E9=""),"",MATCH(D9,{"Bassa","Media","Alta"},0)*MATCH(E9,{"Bassa","Media","Alta"},0))</f>
        <v/>
      </c>
      <c r="G9" s="47" t="inlineStr">
        <is>
          <t>Passaggio notturno; costellazione; stazioni ad alta latitudine</t>
        </is>
      </c>
      <c r="H9" s="47" t="inlineStr">
        <is>
          <t>A1</t>
        </is>
      </c>
      <c r="I9" s="47" t="n"/>
      <c r="J9" s="47" t="inlineStr">
        <is>
          <t>Giuliano</t>
        </is>
      </c>
      <c r="K9" s="47" t="inlineStr">
        <is>
          <t>In mitigazione</t>
        </is>
      </c>
      <c r="L9" s="47" t="inlineStr">
        <is>
          <t>Fase 0</t>
        </is>
      </c>
      <c r="M9" s="47" t="inlineStr">
        <is>
          <t>A1: 100% a 30° giorno+notte senza nuvole</t>
        </is>
      </c>
    </row>
    <row r="10" ht="23.25" customHeight="1" s="26">
      <c r="A10" s="47" t="inlineStr">
        <is>
          <t>R-09</t>
        </is>
      </c>
      <c r="B10" s="47" t="inlineStr">
        <is>
          <t>La scheda AI si scalda troppo</t>
        </is>
      </c>
      <c r="C10" s="47" t="inlineStr">
        <is>
          <t>Elaborazione rallentata o interrotta</t>
        </is>
      </c>
      <c r="D10" s="47" t="inlineStr">
        <is>
          <t>Bassa</t>
        </is>
      </c>
      <c r="E10" s="47" t="inlineStr">
        <is>
          <t>Media</t>
        </is>
      </c>
      <c r="F10" s="50">
        <f>IF(OR(D10="",E10=""),"",MATCH(D10,{"Bassa","Media","Alta"},0)*MATCH(E10,{"Bassa","Media","Alta"},0))</f>
        <v/>
      </c>
      <c r="G10" s="47" t="inlineStr">
        <is>
          <t>Analisi termica; elaborazione a impulsi</t>
        </is>
      </c>
      <c r="H10" s="47" t="inlineStr">
        <is>
          <t>A5</t>
        </is>
      </c>
      <c r="I10" s="47" t="n"/>
      <c r="J10" s="47" t="inlineStr">
        <is>
          <t>Giuseppe</t>
        </is>
      </c>
      <c r="K10" s="47" t="inlineStr">
        <is>
          <t>Aperto</t>
        </is>
      </c>
      <c r="L10" s="47" t="inlineStr">
        <is>
          <t>Fase 0</t>
        </is>
      </c>
      <c r="M10" s="47" t="n"/>
    </row>
    <row r="11" ht="15" customHeight="1" s="26">
      <c r="A11" s="47" t="inlineStr">
        <is>
          <t>R-10</t>
        </is>
      </c>
      <c r="B11" s="47" t="inlineStr">
        <is>
          <t>Un satellite singolo non rispetta MR-02</t>
        </is>
      </c>
      <c r="C11" s="47" t="inlineStr">
        <is>
          <t>Missione non conforme</t>
        </is>
      </c>
      <c r="D11" s="47" t="inlineStr">
        <is>
          <t>Alta</t>
        </is>
      </c>
      <c r="E11" s="47" t="inlineStr">
        <is>
          <t>Alta</t>
        </is>
      </c>
      <c r="F11" s="50">
        <f>IF(OR(D11="",E11=""),"",MATCH(D11,{"Bassa","Media","Alta"},0)*MATCH(E11,{"Bassa","Media","Alta"},0))</f>
        <v/>
      </c>
      <c r="G11" s="47" t="inlineStr">
        <is>
          <t>Costellazione di 4 (D-015)</t>
        </is>
      </c>
      <c r="H11" s="47" t="inlineStr">
        <is>
          <t>A1</t>
        </is>
      </c>
      <c r="I11" s="47" t="n"/>
      <c r="J11" s="47" t="inlineStr">
        <is>
          <t>Giuliano</t>
        </is>
      </c>
      <c r="K11" s="47" t="inlineStr">
        <is>
          <t>Chiuso</t>
        </is>
      </c>
      <c r="L11" s="47" t="inlineStr">
        <is>
          <t>Fase 0</t>
        </is>
      </c>
      <c r="M11" s="47" t="inlineStr">
        <is>
          <t>Chiuso con D-015</t>
        </is>
      </c>
    </row>
    <row r="12" ht="23.25" customHeight="1" s="26">
      <c r="A12" s="47" t="inlineStr">
        <is>
          <t>R-11</t>
        </is>
      </c>
      <c r="B12" s="47" t="inlineStr">
        <is>
          <t>Nessun lancio o rimorchiatore disponibile per l'orbita richiesta</t>
        </is>
      </c>
      <c r="C12" s="47" t="inlineStr">
        <is>
          <t>Ritardo o orbita diversa</t>
        </is>
      </c>
      <c r="D12" s="47" t="n"/>
      <c r="E12" s="47" t="inlineStr">
        <is>
          <t>Alta</t>
        </is>
      </c>
      <c r="F12" s="50">
        <f>IF(OR(D12="",E12=""),"",MATCH(D12,{"Bassa","Media","Alta"},0)*MATCH(E12,{"Bassa","Media","Alta"},0))</f>
        <v/>
      </c>
      <c r="G12" s="47" t="inlineStr">
        <is>
          <t>Indagine sui rideshare eliosincroni; piano B rilascio a 500 km (111,9 m/s)</t>
        </is>
      </c>
      <c r="H12" s="47" t="inlineStr">
        <is>
          <t>A6</t>
        </is>
      </c>
      <c r="I12" s="47" t="n"/>
      <c r="J12" s="47" t="inlineStr">
        <is>
          <t>Giuliano</t>
        </is>
      </c>
      <c r="K12" s="47" t="inlineStr">
        <is>
          <t>Aperto</t>
        </is>
      </c>
      <c r="L12" s="47" t="inlineStr">
        <is>
          <t>A1-bis</t>
        </is>
      </c>
      <c r="M12" s="47" t="inlineStr">
        <is>
          <t>Probabilità da valutare in A6. A5.1: limiti di riferimento D-036 (36 kg, involucro EXOpod Nova); deployer più restrittivi (es. QuadPack 24 kg dichiarati) richiederebbero di restare sotto l'obiettivo 32 kg o meno</t>
        </is>
      </c>
    </row>
    <row r="13" ht="23.25" customHeight="1" s="26">
      <c r="A13" s="47" t="inlineStr">
        <is>
          <t>R-12</t>
        </is>
      </c>
      <c r="B13" s="47" t="inlineStr">
        <is>
          <t>Attività solare più alta del previsto</t>
        </is>
      </c>
      <c r="C13" s="47" t="inlineStr">
        <is>
          <t>ΔV fino a 464 m/s in 2 anni</t>
        </is>
      </c>
      <c r="D13" s="47" t="n"/>
      <c r="E13" s="47" t="inlineStr">
        <is>
          <t>Media</t>
        </is>
      </c>
      <c r="F13" s="50">
        <f>IF(OR(D13="",E13=""),"",MATCH(D13,{"Bassa","Media","Alta"},0)*MATCH(E13,{"Bassa","Media","Alta"},0))</f>
        <v/>
      </c>
      <c r="G13" s="47" t="inlineStr">
        <is>
          <t>Margine 20%; dimensionamento provvisorio sul caso medio (D-033) da rivedere con la data di lancio; in esercizio: assetto a sezione minima fuori dalle riprese, tolleranza di quota, vita ridotta accettata; alternativa propulsiva BIT-3 (D-034) per coprire il caso alto</t>
        </is>
      </c>
      <c r="H13" s="47" t="inlineStr">
        <is>
          <t>A5</t>
        </is>
      </c>
      <c r="I13" s="47" t="n"/>
      <c r="J13" s="47" t="inlineStr">
        <is>
          <t>Giuliano</t>
        </is>
      </c>
      <c r="K13" s="47" t="inlineStr">
        <is>
          <t>Aperto</t>
        </is>
      </c>
      <c r="L13" s="47" t="inlineStr">
        <is>
          <t>A1-bis</t>
        </is>
      </c>
      <c r="M13" s="47" t="inlineStr">
        <is>
          <t>Probabilità da valutare in A6. A5.2: con REGULUS Large e Sole alto per 2 anni ~21,8 mesi di mantenimento contro ~23 necessari (~95%)</t>
        </is>
      </c>
    </row>
    <row r="14" ht="15" customHeight="1" s="26">
      <c r="A14" s="47" t="inlineStr">
        <is>
          <t>R-13</t>
        </is>
      </c>
      <c r="B14" s="47" t="inlineStr">
        <is>
          <t>Serbatoio troppo piccolo per ~1,5 kg di iodio</t>
        </is>
      </c>
      <c r="C14" s="47" t="inlineStr">
        <is>
          <t>Vita operativa ridotta</t>
        </is>
      </c>
      <c r="D14" s="47" t="n"/>
      <c r="E14" s="47" t="inlineStr">
        <is>
          <t>Media</t>
        </is>
      </c>
      <c r="F14" s="50">
        <f>IF(OR(D14="",E14=""),"",MATCH(D14,{"Bassa","Media","Alta"},0)*MATCH(E14,{"Bassa","Media","Alta"},0))</f>
        <v/>
      </c>
      <c r="G14" s="47" t="inlineStr">
        <is>
          <t>Unità di riferimento REGULUS-50-I2 Large con 11 kN·s (+36% su D-033)</t>
        </is>
      </c>
      <c r="H14" s="47" t="inlineStr">
        <is>
          <t>A5</t>
        </is>
      </c>
      <c r="I14" s="47" t="n"/>
      <c r="J14" s="47" t="inlineStr">
        <is>
          <t>Giuliano</t>
        </is>
      </c>
      <c r="K14" s="47" t="inlineStr">
        <is>
          <t>In mitigazione</t>
        </is>
      </c>
      <c r="L14" s="47" t="inlineStr">
        <is>
          <t>A1-bis</t>
        </is>
      </c>
      <c r="M14" s="47" t="inlineStr">
        <is>
          <t>Probabilità da valutare in A6. A5.2: capacità dell'unità ~2,0 kg di iodio (stima) contro ~1,5 kg necessari</t>
        </is>
      </c>
    </row>
    <row r="15" ht="23.25" customHeight="1" s="26">
      <c r="A15" s="47" t="inlineStr">
        <is>
          <t>R-14</t>
        </is>
      </c>
      <c r="B15" s="47" t="inlineStr">
        <is>
          <t>Motore acceso ~4,2 h/giorno in mantenimento</t>
        </is>
      </c>
      <c r="C15" s="47" t="inlineStr">
        <is>
          <t>Conflitti con riprese, scarico dati e potenza</t>
        </is>
      </c>
      <c r="D15" s="47" t="n"/>
      <c r="E15" s="47" t="inlineStr">
        <is>
          <t>Media</t>
        </is>
      </c>
      <c r="F15" s="50">
        <f>IF(OR(D15="",E15=""),"",MATCH(D15,{"Bassa","Media","Alta"},0)*MATCH(E15,{"Bassa","Media","Alta"},0))</f>
        <v/>
      </c>
      <c r="G15" s="47" t="inlineStr">
        <is>
          <t>Budget di potenza e piano operativo</t>
        </is>
      </c>
      <c r="H15" s="47" t="inlineStr">
        <is>
          <t>A5</t>
        </is>
      </c>
      <c r="I15" s="47" t="n"/>
      <c r="J15" s="47" t="inlineStr">
        <is>
          <t>Giuliano</t>
        </is>
      </c>
      <c r="K15" s="47" t="inlineStr">
        <is>
          <t>Aperto</t>
        </is>
      </c>
      <c r="L15" s="47" t="inlineStr">
        <is>
          <t>A1-bis</t>
        </is>
      </c>
      <c r="M15" s="47" t="inlineStr">
        <is>
          <t>Probabilità da valutare in A6. A5.2: ~4,2 h/giorno con la spinta REGULUS di 0,55 mN a 50 W (Sole medio), ~7,8 h con Sole alto; il valore 4,7 h di A1-bis era a 0,5 mN 30/10/2026 (D-068): con antenne quasi omnidirezionali e assetto di spinta a nadir (L1), i contatti TT&amp;C non fermano la spinta; resta il conflitto solo se si usa il puntamento della stazione (banda X). 30/10/2026 (D-074): con divieto da 60–90 min prima delle riprese restano &gt; ~20 h/giorno per la spinta; il vincolo vero è la potenza in eclissi (A5.6). | 30/10/2026 (D-105): spinta solo in luce e ferma durante la trasmissione S; restano ~14,4 h di luce/giorno meno contatti e divieti delle riprese, contro 4,2–7,8 h necessarie</t>
        </is>
      </c>
    </row>
    <row r="16" ht="23.25" customHeight="1" s="26">
      <c r="A16" s="47" t="inlineStr">
        <is>
          <t>R-15</t>
        </is>
      </c>
      <c r="B16" s="47" t="inlineStr">
        <is>
          <t>Riallineamento delle bande a strisce</t>
        </is>
      </c>
      <c r="C16" s="47" t="inlineStr">
        <is>
          <t>Bordi colorati se l'assetto oscilla (0,001°/s → ~4 m)</t>
        </is>
      </c>
      <c r="D16" s="47" t="n"/>
      <c r="E16" s="47" t="inlineStr">
        <is>
          <t>Media</t>
        </is>
      </c>
      <c r="F16" s="50">
        <f>IF(OR(D16="",E16=""),"",MATCH(D16,{"Bassa","Media","Alta"},0)*MATCH(E16,{"Bassa","Media","Alta"},0))</f>
        <v/>
      </c>
      <c r="G16" s="47" t="inlineStr">
        <is>
          <t>Correzione a bordo dello sfasamento con i dati del giroscopio (D-040); deriva ≤ 0,001°/s (DR-05); correlazione tra le bande come affinamento in Fase B</t>
        </is>
      </c>
      <c r="H16" s="47" t="inlineStr">
        <is>
          <t>A5</t>
        </is>
      </c>
      <c r="I16" s="47" t="n"/>
      <c r="J16" s="47" t="inlineStr">
        <is>
          <t>Giuliano</t>
        </is>
      </c>
      <c r="K16" s="47" t="inlineStr">
        <is>
          <t>Aperto</t>
        </is>
      </c>
      <c r="L16" s="47" t="inlineStr">
        <is>
          <t>A2</t>
        </is>
      </c>
      <c r="M16" s="47" t="inlineStr">
        <is>
          <t>Probabilità da valutare in A6. A5.3 a): il riallineamento a terra è scartato (contraddice D-007/MR-10). A5.4: mitigazione aggiornata, riallineamento geometrico con DEM (D-056); con la sola traslazione il rilievo oltre ~50 m dà bordi colorati</t>
        </is>
      </c>
    </row>
    <row r="17" ht="15" customHeight="1" s="26">
      <c r="A17" s="47" t="inlineStr">
        <is>
          <t>R-16</t>
        </is>
      </c>
      <c r="B17" s="47" t="inlineStr">
        <is>
          <t>Luce diffusa notturna (Luna, alone delle città)</t>
        </is>
      </c>
      <c r="C17" s="47" t="inlineStr">
        <is>
          <t>Contrasto ridotto sulle zone buie</t>
        </is>
      </c>
      <c r="D17" s="47" t="n"/>
      <c r="E17" s="47" t="inlineStr">
        <is>
          <t>Media</t>
        </is>
      </c>
      <c r="F17" s="50">
        <f>IF(OR(D17="",E17=""),"",MATCH(D17,{"Bassa","Media","Alta"},0)*MATCH(E17,{"Bassa","Media","Alta"},0))</f>
        <v/>
      </c>
      <c r="G17" s="47" t="inlineStr">
        <is>
          <t>Bilancio radiometrico con Luna; deflettori</t>
        </is>
      </c>
      <c r="H17" s="47" t="inlineStr">
        <is>
          <t>A4</t>
        </is>
      </c>
      <c r="I17" s="47" t="n"/>
      <c r="J17" s="47" t="inlineStr">
        <is>
          <t>Giuseppe</t>
        </is>
      </c>
      <c r="K17" s="47" t="inlineStr">
        <is>
          <t>In mitigazione</t>
        </is>
      </c>
      <c r="L17" s="47" t="inlineStr">
        <is>
          <t>A2</t>
        </is>
      </c>
      <c r="M17" s="47" t="inlineStr">
        <is>
          <t>A3: luna piena ~7 nW/cm²/sr, come un paese illuminato. Probabilità da valutare in A6. A4.4 (D-063): fondo lunare reale all'ora del passaggio ≤ 4,5 nW (&gt; 2,5 nW ~2 notti/mese); misurato e sottratto nell'immagine</t>
        </is>
      </c>
    </row>
    <row r="18" ht="23.25" customHeight="1" s="26">
      <c r="A18" s="47" t="inlineStr">
        <is>
          <t>R-17</t>
        </is>
      </c>
      <c r="B18" s="47" t="inlineStr">
        <is>
          <t>Disponibilità e vincoli di export dei sensori sCMOS spaziali</t>
        </is>
      </c>
      <c r="C18" s="47" t="inlineStr">
        <is>
          <t>Sensore non acquistabile</t>
        </is>
      </c>
      <c r="D18" s="47" t="n"/>
      <c r="E18" s="47" t="inlineStr">
        <is>
          <t>Alta</t>
        </is>
      </c>
      <c r="F18" s="50">
        <f>IF(OR(D18="",E18=""),"",MATCH(D18,{"Bassa","Media","Alta"},0)*MATCH(E18,{"Bassa","Media","Alta"},0))</f>
        <v/>
      </c>
      <c r="G18" s="47" t="inlineStr">
        <is>
          <t>Indagine di mercato</t>
        </is>
      </c>
      <c r="H18" s="47" t="inlineStr">
        <is>
          <t>A5</t>
        </is>
      </c>
      <c r="I18" s="47" t="n"/>
      <c r="J18" s="47" t="inlineStr">
        <is>
          <t>Giuseppe</t>
        </is>
      </c>
      <c r="K18" s="47" t="inlineStr">
        <is>
          <t>Aperto</t>
        </is>
      </c>
      <c r="L18" s="47" t="inlineStr">
        <is>
          <t>A2</t>
        </is>
      </c>
      <c r="M18" s="47" t="inlineStr">
        <is>
          <t>Probabilità da valutare in A6</t>
        </is>
      </c>
    </row>
    <row r="19" ht="23.25" customHeight="1" s="26">
      <c r="A19" s="47" t="inlineStr">
        <is>
          <t>R-18</t>
        </is>
      </c>
      <c r="B19" s="47" t="inlineStr">
        <is>
          <t>Leggero aliasing (Q = 0,92, MTF a Nyquist ~0,28)</t>
        </is>
      </c>
      <c r="C19" s="47" t="inlineStr">
        <is>
          <t>Artefatti su strutture regolari</t>
        </is>
      </c>
      <c r="D19" s="47" t="inlineStr">
        <is>
          <t>Bassa</t>
        </is>
      </c>
      <c r="E19" s="47" t="inlineStr">
        <is>
          <t>Bassa</t>
        </is>
      </c>
      <c r="F19" s="50">
        <f>IF(OR(D19="",E19=""),"",MATCH(D19,{"Bassa","Media","Alta"},0)*MATCH(E19,{"Bassa","Media","Alta"},0))</f>
        <v/>
      </c>
      <c r="G19" s="47" t="inlineStr">
        <is>
          <t>Nessuna: accettabile per la mappatura dei danni</t>
        </is>
      </c>
      <c r="H19" s="47" t="inlineStr">
        <is>
          <t>A2</t>
        </is>
      </c>
      <c r="I19" s="47" t="n"/>
      <c r="J19" s="47" t="inlineStr">
        <is>
          <t>Giuseppe</t>
        </is>
      </c>
      <c r="K19" s="47" t="inlineStr">
        <is>
          <t>Accettato</t>
        </is>
      </c>
      <c r="L19" s="47" t="inlineStr">
        <is>
          <t>A2</t>
        </is>
      </c>
      <c r="M19" s="47" t="inlineStr">
        <is>
          <t>30/10/2026 (D-088): con l'ombra del telescopio RC l'MTF di sistema a Nyquist è 0,13–0,17 (DR-53): aliasing ancora più basso, immagine più morbida.</t>
        </is>
      </c>
    </row>
    <row r="20" ht="23.25" customHeight="1" s="26">
      <c r="A20" s="47" t="inlineStr">
        <is>
          <t>R-19</t>
        </is>
      </c>
      <c r="B20" s="47" t="inlineStr">
        <is>
          <t>Radianze notturne reali diverse dalle medie VIIRS (750 m) a 5 m, e diverse tra LED e sodio</t>
        </is>
      </c>
      <c r="C20" s="47" t="inlineStr">
        <is>
          <t>SNR locale più basso del previsto</t>
        </is>
      </c>
      <c r="D20" s="47" t="n"/>
      <c r="E20" s="47" t="inlineStr">
        <is>
          <t>Media</t>
        </is>
      </c>
      <c r="F20" s="50">
        <f>IF(OR(D20="",E20=""),"",MATCH(D20,{"Bassa","Media","Alta"},0)*MATCH(E20,{"Bassa","Media","Alta"},0))</f>
        <v/>
      </c>
      <c r="G20" s="47" t="inlineStr">
        <is>
          <t>Binning adattivo; riserva 3×3</t>
        </is>
      </c>
      <c r="H20" s="47" t="inlineStr">
        <is>
          <t>Fase B</t>
        </is>
      </c>
      <c r="I20" s="47" t="n"/>
      <c r="J20" s="47" t="inlineStr">
        <is>
          <t>Giuseppe</t>
        </is>
      </c>
      <c r="K20" s="47" t="inlineStr">
        <is>
          <t>Aperto</t>
        </is>
      </c>
      <c r="L20" s="47" t="inlineStr">
        <is>
          <t>A3</t>
        </is>
      </c>
      <c r="M20" s="47" t="inlineStr">
        <is>
          <t>Probabilità da valutare in A6</t>
        </is>
      </c>
    </row>
    <row r="21" ht="23.25" customHeight="1" s="26">
      <c r="A21" s="47" t="inlineStr">
        <is>
          <t>R-20</t>
        </is>
      </c>
      <c r="B21" s="47" t="inlineStr">
        <is>
          <t>Il modello SNR trascura luce diffusa dall'atmosfera, luce parassita e sfocatura</t>
        </is>
      </c>
      <c r="C21" s="47" t="inlineStr">
        <is>
          <t>SNR reale un po' più basso</t>
        </is>
      </c>
      <c r="D21" s="47" t="n"/>
      <c r="E21" s="47" t="inlineStr">
        <is>
          <t>Media</t>
        </is>
      </c>
      <c r="F21" s="50">
        <f>IF(OR(D21="",E21=""),"",MATCH(D21,{"Bassa","Media","Alta"},0)*MATCH(E21,{"Bassa","Media","Alta"},0))</f>
        <v/>
      </c>
      <c r="G21" s="47" t="inlineStr">
        <is>
          <t>Riserva 3×3; deflettori; analisi di luce parassita</t>
        </is>
      </c>
      <c r="H21" s="47" t="inlineStr">
        <is>
          <t>Fase B</t>
        </is>
      </c>
      <c r="I21" s="47" t="n"/>
      <c r="J21" s="47" t="inlineStr">
        <is>
          <t>Giuseppe</t>
        </is>
      </c>
      <c r="K21" s="47" t="inlineStr">
        <is>
          <t>Aperto</t>
        </is>
      </c>
      <c r="L21" s="47" t="inlineStr">
        <is>
          <t>A3</t>
        </is>
      </c>
      <c r="M21" s="47" t="inlineStr">
        <is>
          <t>Probabilità da valutare in A6</t>
        </is>
      </c>
    </row>
    <row r="22" ht="23.25" customHeight="1" s="26">
      <c r="A22" s="47" t="inlineStr">
        <is>
          <t>R-21</t>
        </is>
      </c>
      <c r="B22" s="47" t="inlineStr">
        <is>
          <t>Riallineamento degli scatti su zone completamente al buio</t>
        </is>
      </c>
      <c r="C22" s="47" t="inlineStr">
        <is>
          <t>Immagine sommata sfocata proprio nel blackout</t>
        </is>
      </c>
      <c r="D22" s="47" t="n"/>
      <c r="E22" s="47" t="inlineStr">
        <is>
          <t>Media</t>
        </is>
      </c>
      <c r="F22" s="50">
        <f>IF(OR(D22="",E22=""),"",MATCH(D22,{"Bassa","Media","Alta"},0)*MATCH(E22,{"Bassa","Media","Alta"},0))</f>
        <v/>
      </c>
      <c r="G22" s="47" t="inlineStr">
        <is>
          <t>Riallineamento con i dati d'assetto (giroscopi, star tracker)</t>
        </is>
      </c>
      <c r="H22" s="47" t="inlineStr">
        <is>
          <t>A5</t>
        </is>
      </c>
      <c r="I22" s="47" t="n"/>
      <c r="J22" s="47" t="inlineStr">
        <is>
          <t>Entrambi</t>
        </is>
      </c>
      <c r="K22" s="47" t="inlineStr">
        <is>
          <t>Aperto</t>
        </is>
      </c>
      <c r="L22" s="47" t="inlineStr">
        <is>
          <t>A3</t>
        </is>
      </c>
      <c r="M22" s="47" t="inlineStr">
        <is>
          <t>Dipende dalla conoscenza d'assetto di Giuliano. A5.3 a): stessa funzione di correzione usata di giorno (D-040), requisiti DR-17 e DR-18. Probabilità da valutare in A6. A5.3 f): con GY2 errore relativo in 0,3 s ~1,0 µrad (soglia 5,2); con MEMS tattico 24 µrad. A5.4: il riallineamento degli scatti usa il modello geometrico con orbita, assetto e DEM (D-056), indipendente dal contenuto dell'immagine. A4: con il riallineamento geometrico di D-056 (Proposta di Giuliano) il riallineamento non dipende più dalle luci della scena</t>
        </is>
      </c>
    </row>
    <row r="23" ht="23.25" customHeight="1" s="26">
      <c r="A23" s="47" t="inlineStr">
        <is>
          <t>R-22</t>
        </is>
      </c>
      <c r="B23" s="47" t="inlineStr">
        <is>
          <t>Pochi sensori diurni di questa taglia superano 20 immagini/s</t>
        </is>
      </c>
      <c r="C23" s="47" t="inlineStr">
        <is>
          <t>TDI digitale a 4 passaggi non realizzabile; SNR invernale basso</t>
        </is>
      </c>
      <c r="D23" s="47" t="n"/>
      <c r="E23" s="47" t="inlineStr">
        <is>
          <t>Media</t>
        </is>
      </c>
      <c r="F23" s="50">
        <f>IF(OR(D23="",E23=""),"",MATCH(D23,{"Bassa","Media","Alta"},0)*MATCH(E23,{"Bassa","Media","Alta"},0))</f>
        <v/>
      </c>
      <c r="G23" s="47" t="inlineStr">
        <is>
          <t>Indagine di mercato; ritaglio della finestra letta</t>
        </is>
      </c>
      <c r="H23" s="47" t="inlineStr">
        <is>
          <t>A5</t>
        </is>
      </c>
      <c r="I23" s="47" t="n"/>
      <c r="J23" s="47" t="inlineStr">
        <is>
          <t>Giuseppe</t>
        </is>
      </c>
      <c r="K23" s="47" t="inlineStr">
        <is>
          <t>Aperto</t>
        </is>
      </c>
      <c r="L23" s="47" t="inlineStr">
        <is>
          <t>A3</t>
        </is>
      </c>
      <c r="M23" s="47" t="inlineStr">
        <is>
          <t>Probabilità da valutare in A6</t>
        </is>
      </c>
    </row>
    <row r="24" ht="23.25" customHeight="1" s="26">
      <c r="A24" s="47" t="inlineStr">
        <is>
          <t>R-23</t>
        </is>
      </c>
      <c r="B24" s="47" t="inlineStr">
        <is>
          <t>Iodio (propellente o prodotti del getto) che si deposita sulle superfici fredde, in particolare sugli specchi del telescopio</t>
        </is>
      </c>
      <c r="C24" s="47" t="inlineStr">
        <is>
          <t>Calo di trasmissione e contrasto dell'ottica; corrosione di superfici e connettori</t>
        </is>
      </c>
      <c r="D24" s="47" t="n"/>
      <c r="E24" s="47" t="inlineStr">
        <is>
          <t>Alta</t>
        </is>
      </c>
      <c r="F24" s="50">
        <f>IF(OR(D24="",E24=""),"",MATCH(D24,{"Bassa","Media","Alta"},0)*MATCH(E24,{"Bassa","Media","Alta"},0))</f>
        <v/>
      </c>
      <c r="G24" s="47" t="inlineStr">
        <is>
          <t>Motore rivolto lontano dall'apertura del telescopio; analisi del getto e della contaminazione (come EarthNext); coperchio o deflettore sull'apertura</t>
        </is>
      </c>
      <c r="H24" s="47" t="inlineStr">
        <is>
          <t>Fase B</t>
        </is>
      </c>
      <c r="I24" s="47" t="n"/>
      <c r="J24" s="47" t="inlineStr">
        <is>
          <t>Entrambi</t>
        </is>
      </c>
      <c r="K24" s="47" t="inlineStr">
        <is>
          <t>Aperto</t>
        </is>
      </c>
      <c r="L24" s="47" t="inlineStr">
        <is>
          <t>A5</t>
        </is>
      </c>
      <c r="M24" s="47" t="inlineStr">
        <is>
          <t>Probabilità da valutare in A6. Nato in A5.2 (D-034)</t>
        </is>
      </c>
    </row>
    <row r="25" ht="23.25" customHeight="1" s="26">
      <c r="A25" s="47" t="inlineStr">
        <is>
          <t>R-24</t>
        </is>
      </c>
      <c r="B25" s="47" t="inlineStr">
        <is>
          <t>Calore dell'unità propulsiva (riscaldamento dello iodio e plasma, ~50 W in spinta) vicino al telescopio</t>
        </is>
      </c>
      <c r="C25" s="47" t="inlineStr">
        <is>
          <t>Deriva del fuoco oltre ±37 µm (DR-03), immagini sfocate dopo le accensioni</t>
        </is>
      </c>
      <c r="D25" s="47" t="n"/>
      <c r="E25" s="47" t="inlineStr">
        <is>
          <t>Media</t>
        </is>
      </c>
      <c r="F25" s="50">
        <f>IF(OR(D25="",E25=""),"",MATCH(D25,{"Bassa","Media","Alta"},0)*MATCH(E25,{"Bassa","Media","Alta"},0))</f>
        <v/>
      </c>
      <c r="G25" s="47" t="inlineStr">
        <is>
          <t>Disaccoppiamento termico nel layout; niente riprese durante e subito dopo le accensioni; analisi termica</t>
        </is>
      </c>
      <c r="H25" s="47" t="inlineStr">
        <is>
          <t>A5</t>
        </is>
      </c>
      <c r="I25" s="47" t="n"/>
      <c r="J25" s="47" t="inlineStr">
        <is>
          <t>Giuseppe</t>
        </is>
      </c>
      <c r="K25" s="47" t="inlineStr">
        <is>
          <t>Aperto</t>
        </is>
      </c>
      <c r="L25" s="47" t="inlineStr">
        <is>
          <t>A5</t>
        </is>
      </c>
      <c r="M25" s="47" t="inlineStr">
        <is>
          <t>Probabilità da valutare in A6. Nato in A5.2 (D-034) | 30/10/2026 (D-088): il telescopio RC tollera ±37 µm (errore d'onda medio ~35 nm); oltre serve il fuoco regolabile (R-49). | 30/10/2026 (D-099): telescopio isolato, +1–2 K in 30 min se il motore scalda l'interno di 5 K; N = 30 min (TBC).</t>
        </is>
      </c>
    </row>
    <row r="26" ht="15" customHeight="1" s="26">
      <c r="A26" s="47" t="inlineStr">
        <is>
          <t>R-25</t>
        </is>
      </c>
      <c r="B26" s="47" t="inlineStr">
        <is>
          <t>Errore del giroscopio o della sincronizzazione immagine–assetto superiore al previsto</t>
        </is>
      </c>
      <c r="C26" s="47" t="inlineStr">
        <is>
          <t>Correzione a bordo inefficace: bordi colorati, TDI diurno allargato, shift-and-add sfocato</t>
        </is>
      </c>
      <c r="D26" s="47" t="n"/>
      <c r="E26" s="47" t="inlineStr">
        <is>
          <t>Media</t>
        </is>
      </c>
      <c r="F26" s="50">
        <f>IF(OR(D26="",E26=""),"",MATCH(D26,{"Bassa","Media","Alta"},0)*MATCH(E26,{"Bassa","Media","Alta"},0))</f>
        <v/>
      </c>
      <c r="G26" s="47" t="inlineStr">
        <is>
          <t>Requisiti DR-17 e DR-18; scelta del giroscopio in A5.3 f); correlazione tra le bande come riserva (Fase B)</t>
        </is>
      </c>
      <c r="H26" s="47" t="inlineStr">
        <is>
          <t>A5</t>
        </is>
      </c>
      <c r="I26" s="47" t="n"/>
      <c r="J26" s="47" t="inlineStr">
        <is>
          <t>Giuliano</t>
        </is>
      </c>
      <c r="K26" s="47" t="inlineStr">
        <is>
          <t>Aperto</t>
        </is>
      </c>
      <c r="L26" s="47" t="inlineStr">
        <is>
          <t>A5</t>
        </is>
      </c>
      <c r="M26" s="47" t="inlineStr">
        <is>
          <t>Nato in A5.3 a) (D-040). Probabilità da valutare in A6. A5.4: il modello geometrico (D-056) aggiunge orbita e DEM agli errori da tenere sotto controllo (DR-26)</t>
        </is>
      </c>
    </row>
    <row r="27" ht="15" customHeight="1" s="26">
      <c r="A27" s="47" t="inlineStr">
        <is>
          <t>R-26</t>
        </is>
      </c>
      <c r="B27" s="47" t="inlineStr">
        <is>
          <t>Baricentro fuori dai limiti di DR-21 (layout, tolleranze, spostamento con il consumo dello iodio)</t>
        </is>
      </c>
      <c r="C27" s="47" t="inlineStr">
        <is>
          <t>Coppia da spinta e aerodinamica più alte: ruote sature durante la spinta, spinte interrotte, mantenimento della quota più difficile</t>
        </is>
      </c>
      <c r="D27" s="47" t="n"/>
      <c r="E27" s="47" t="inlineStr">
        <is>
          <t>Alta</t>
        </is>
      </c>
      <c r="F27" s="50">
        <f>IF(OR(D27="",E27=""),"",MATCH(D27,{"Bassa","Media","Alta"},0)*MATCH(E27,{"Bassa","Media","Alta"},0))</f>
        <v/>
      </c>
      <c r="G27" s="47" t="inlineStr">
        <is>
          <t>Bilanciamento nel layout (A5.7), serbatoio vicino al baricentro, zavorra, misura del baricentro a terra; magnetorquer con margine (A5.3 e); in volo spinta a intervalli con desaturazioni</t>
        </is>
      </c>
      <c r="H27" s="47" t="inlineStr">
        <is>
          <t>A5</t>
        </is>
      </c>
      <c r="I27" s="47" t="n"/>
      <c r="J27" s="47" t="inlineStr">
        <is>
          <t>Entrambi</t>
        </is>
      </c>
      <c r="K27" s="47" t="inlineStr">
        <is>
          <t>Aperto</t>
        </is>
      </c>
      <c r="L27" s="47" t="inlineStr">
        <is>
          <t>A5</t>
        </is>
      </c>
      <c r="M27" s="47" t="inlineStr">
        <is>
          <t>Nato in A5.3 d) (D-047). Con il baricentro al limite del deployer (90 mm) la coppia di spinta è ~10⁻⁴ N·m. Probabilità da valutare in A6. A5.3 e): con baricentro a 20 mm e magnetorquer da 2,5 A·m² il momento max è 0,116 N·m·s (entro W3 nominale, non con una ruota guasta)</t>
        </is>
      </c>
    </row>
    <row r="28" ht="15" customHeight="1" s="26">
      <c r="A28" s="47" t="inlineStr">
        <is>
          <t>R-27</t>
        </is>
      </c>
      <c r="B28" s="47" t="inlineStr">
        <is>
          <t>Giroscopio ad alte prestazioni (classe CRH03) senza eredità spaziale o non qualificabile (radiazioni, vibrazioni, termico)</t>
        </is>
      </c>
      <c r="C28" s="47" t="inlineStr">
        <is>
          <t>Nessuna unità di catalogo con ARW ≤ 0,01°/√h: correzione a bordo di bande, TDI e shift-and-add degradata (D-040, R-21)</t>
        </is>
      </c>
      <c r="D28" s="47" t="n"/>
      <c r="E28" s="47" t="inlineStr">
        <is>
          <t>Alta</t>
        </is>
      </c>
      <c r="F28" s="50">
        <f>IF(OR(D28="",E28=""),"",MATCH(D28,{"Bassa","Media","Alta"},0)*MATCH(E28,{"Bassa","Media","Alta"},0))</f>
        <v/>
      </c>
      <c r="G28" s="47" t="inlineStr">
        <is>
          <t>Indagine sulle unità qualificate di questa classe; alternativa GY3 (IMU a fibra ottica, al limite di DR-18); riserva: correlazione tra le bande (D-040 opzione D) dove c'è tessitura</t>
        </is>
      </c>
      <c r="H28" s="47" t="inlineStr">
        <is>
          <t>Fase B</t>
        </is>
      </c>
      <c r="I28" s="47" t="n"/>
      <c r="J28" s="47" t="inlineStr">
        <is>
          <t>Giuliano</t>
        </is>
      </c>
      <c r="K28" s="47" t="inlineStr">
        <is>
          <t>Aperto</t>
        </is>
      </c>
      <c r="L28" s="47" t="inlineStr">
        <is>
          <t>A5</t>
        </is>
      </c>
      <c r="M28" s="47" t="inlineStr">
        <is>
          <t>Nato in A5.3 f) (D-050). Probabilità da valutare in A6</t>
        </is>
      </c>
    </row>
    <row r="29" ht="15" customHeight="1" s="26">
      <c r="A29" s="47" t="inlineStr">
        <is>
          <t>R-28</t>
        </is>
      </c>
      <c r="B29" s="47" t="inlineStr">
        <is>
          <t>Microvibrazioni delle ruote di reazione oltre il limite di DR-02</t>
        </is>
      </c>
      <c r="C29" s="47" t="inlineStr">
        <is>
          <t>Passaggi del TDI disallineati, perdita di nitidezza oltre il 5,5% a Nyquist</t>
        </is>
      </c>
      <c r="D29" s="47" t="n"/>
      <c r="E29" s="47" t="inlineStr">
        <is>
          <t>Media</t>
        </is>
      </c>
      <c r="F29" s="50">
        <f>IF(OR(D29="",E29=""),"",MATCH(D29,{"Bassa","Media","Alta"},0)*MATCH(E29,{"Bassa","Media","Alta"},0))</f>
        <v/>
      </c>
      <c r="G29" s="47" t="inlineStr">
        <is>
          <t>Dati di sbilanciamento dal costruttore; isolatori; velocità delle ruote lontane dalle risonanze della struttura; test di microvibrazione in Fase B</t>
        </is>
      </c>
      <c r="H29" s="47" t="inlineStr">
        <is>
          <t>Fase B</t>
        </is>
      </c>
      <c r="I29" s="47" t="n"/>
      <c r="J29" s="47" t="inlineStr">
        <is>
          <t>Giuliano</t>
        </is>
      </c>
      <c r="K29" s="47" t="inlineStr">
        <is>
          <t>Aperto</t>
        </is>
      </c>
      <c r="L29" s="47" t="inlineStr">
        <is>
          <t>A5</t>
        </is>
      </c>
      <c r="M29" s="47" t="inlineStr">
        <is>
          <t>Nato in A5.3 g) (D-053). Probabilità da valutare in A6. A5.4.5: stima a corpo rigido 0,03–0,25 µrad con ruote ben bilanciate; requisito di bilanciamento e posizione delle ruote (DR-30, D-059); il rischio vero sono le risonanze (Q oltre ~4–20)</t>
        </is>
      </c>
    </row>
    <row r="30" ht="15" customHeight="1" s="26">
      <c r="A30" s="47" t="inlineStr">
        <is>
          <t>R-29</t>
        </is>
      </c>
      <c r="B30" s="47" t="inlineStr">
        <is>
          <t>Riallineamento geometrico a bordo (orbita, assetto, DEM) troppo pesante per la scheda in tempo reale, o DEM di bordo poco preciso</t>
        </is>
      </c>
      <c r="C30" s="47" t="inlineStr">
        <is>
          <t>Bande con bordi colorati, TDI diurno allargato e somma notturna sfocata in collina e montagna, proprio dove avvengono molti terremoti</t>
        </is>
      </c>
      <c r="D30" s="47" t="inlineStr">
        <is>
          <t>Media</t>
        </is>
      </c>
      <c r="E30" s="47" t="inlineStr">
        <is>
          <t>Media</t>
        </is>
      </c>
      <c r="F30" s="50">
        <f>IF(OR(D30="",E30=""),"",MATCH(D30,{"Bassa","Media","Alta"},0)*MATCH(E30,{"Bassa","Media","Alta"},0))</f>
        <v/>
      </c>
      <c r="G30" s="47" t="inlineStr">
        <is>
          <t>Modello geometrico su griglia rada con interpolazione (pochi punti calcolati per immagine); stessa funzione di ortorettifica di MR-10; DEM con errore verticale ≤ 20 m (DR-26); come riserva, raffica notturna più corta vicino al passaggio</t>
        </is>
      </c>
      <c r="H30" s="47" t="inlineStr">
        <is>
          <t>Fase B</t>
        </is>
      </c>
      <c r="I30" s="47" t="n"/>
      <c r="J30" s="47" t="inlineStr">
        <is>
          <t>Entrambi</t>
        </is>
      </c>
      <c r="K30" s="47" t="inlineStr">
        <is>
          <t>Aperto</t>
        </is>
      </c>
      <c r="L30" s="47" t="inlineStr">
        <is>
          <t>A5</t>
        </is>
      </c>
      <c r="M30" s="47" t="inlineStr">
        <is>
          <t>Nato in A5.4 (D-056). Carico da valutare da Giuseppe sulla scheda (DR-13). Probabilità da valutare in A6</t>
        </is>
      </c>
    </row>
    <row r="31" ht="15" customHeight="1" s="26">
      <c r="A31" s="47" t="inlineStr">
        <is>
          <t>R-30</t>
        </is>
      </c>
      <c r="B31" s="47" t="inlineStr">
        <is>
          <t>Riduzione notturna dell'illuminazione pubblica (30–50% dopo le 23 o mezzanotte in molti comuni) con passaggi estivi verso le 23 ora legale</t>
        </is>
      </c>
      <c r="C31" s="47" t="inlineStr">
        <is>
          <t>Falso calo di luce: falsi blackout parziali</t>
        </is>
      </c>
      <c r="D31" s="47" t="n"/>
      <c r="E31" s="47" t="inlineStr">
        <is>
          <t>Media</t>
        </is>
      </c>
      <c r="F31" s="50">
        <f>IF(OR(D31="",E31=""),"",MATCH(D31,{"Bassa","Media","Alta"},0)*MATCH(E31,{"Bassa","Media","Alta"},0))</f>
        <v/>
      </c>
      <c r="G31" s="47" t="inlineStr">
        <is>
          <t>Immagine di riferimento alla stessa ora e stagione; soglia di calo oltre la riduzione di flusso (A4.2, A4.5)</t>
        </is>
      </c>
      <c r="H31" s="47" t="inlineStr">
        <is>
          <t>A4</t>
        </is>
      </c>
      <c r="I31" s="47" t="n"/>
      <c r="J31" s="47" t="inlineStr">
        <is>
          <t>Giuseppe</t>
        </is>
      </c>
      <c r="K31" s="47" t="inlineStr">
        <is>
          <t>Aperto</t>
        </is>
      </c>
      <c r="L31" s="47" t="inlineStr">
        <is>
          <t>A4</t>
        </is>
      </c>
      <c r="M31" s="47" t="inlineStr">
        <is>
          <t>Nato in A4.1 (D-060). Probabilità da valutare in A6</t>
        </is>
      </c>
    </row>
    <row r="32" ht="15" customHeight="1" s="26">
      <c r="A32" s="47" t="inlineStr">
        <is>
          <t>R-31</t>
        </is>
      </c>
      <c r="B32" s="47" t="inlineStr">
        <is>
          <t>Blackout vicino a un incendio non confermabile (il fumo abbassa e sfoca le luci come una nuvola sottile)</t>
        </is>
      </c>
      <c r="C32" s="47" t="inlineStr">
        <is>
          <t>Blackout segnalato solo come "non confermabile" vicino agli incendi</t>
        </is>
      </c>
      <c r="D32" s="47" t="inlineStr">
        <is>
          <t>Bassa</t>
        </is>
      </c>
      <c r="E32" s="47" t="inlineStr">
        <is>
          <t>Bassa</t>
        </is>
      </c>
      <c r="F32" s="50">
        <f>IF(OR(D32="",E32=""),"",MATCH(D32,{"Bassa","Media","Alta"},0)*MATCH(E32,{"Bassa","Media","Alta"},0))</f>
        <v/>
      </c>
      <c r="G32" s="47" t="inlineStr">
        <is>
          <t>Accettato: l'allarme incendio arriva comunque; conferma al passaggio successivo</t>
        </is>
      </c>
      <c r="H32" s="47" t="inlineStr">
        <is>
          <t>A4</t>
        </is>
      </c>
      <c r="I32" s="47" t="n"/>
      <c r="J32" s="47" t="inlineStr">
        <is>
          <t>Giuseppe</t>
        </is>
      </c>
      <c r="K32" s="47" t="inlineStr">
        <is>
          <t>Accettato</t>
        </is>
      </c>
      <c r="L32" s="47" t="inlineStr">
        <is>
          <t>A4</t>
        </is>
      </c>
      <c r="M32" s="47" t="inlineStr">
        <is>
          <t>Nato in A4.1 (D-060)</t>
        </is>
      </c>
    </row>
    <row r="33" ht="15" customHeight="1" s="26">
      <c r="A33" s="47" t="inlineStr">
        <is>
          <t>R-32</t>
        </is>
      </c>
      <c r="B33" s="47" t="inlineStr">
        <is>
          <t>Il riferimento VIIRS è grossolano (~500 m) e ripreso a un'ora diversa (~01:30 contro ~22:00)</t>
        </is>
      </c>
      <c r="C33" s="47" t="inlineStr">
        <is>
          <t>Blackout piccoli o parziali non confermati dove manca un'immagine PULSE</t>
        </is>
      </c>
      <c r="D33" s="47" t="n"/>
      <c r="E33" s="47" t="inlineStr">
        <is>
          <t>Media</t>
        </is>
      </c>
      <c r="F33" s="50">
        <f>IF(OR(D33="",E33=""),"",MATCH(D33,{"Bassa","Media","Alta"},0)*MATCH(E33,{"Bassa","Media","Alta"},0))</f>
        <v/>
      </c>
      <c r="G33" s="47" t="inlineStr">
        <is>
          <t>Archivio PULSE su città e zone a rischio; fattore di correzione orario stimato città per città dalle immagini PULSE di notti normali</t>
        </is>
      </c>
      <c r="H33" s="47" t="inlineStr">
        <is>
          <t>A4</t>
        </is>
      </c>
      <c r="I33" s="47" t="n"/>
      <c r="J33" s="47" t="inlineStr">
        <is>
          <t>Giuseppe</t>
        </is>
      </c>
      <c r="K33" s="47" t="inlineStr">
        <is>
          <t>Aperto</t>
        </is>
      </c>
      <c r="L33" s="47" t="inlineStr">
        <is>
          <t>A4</t>
        </is>
      </c>
      <c r="M33" s="47" t="inlineStr">
        <is>
          <t>Nato in A4.2 (D-061). Probabilità da valutare in A6</t>
        </is>
      </c>
    </row>
    <row r="34" ht="15" customHeight="1" s="26">
      <c r="A34" s="47" t="inlineStr">
        <is>
          <t>R-33</t>
        </is>
      </c>
      <c r="B34" s="47" t="inlineStr">
        <is>
          <t>Continuità dei prodotti VIIRS Black Marble (satelliti NOAA/NASA, finanziamento dei prodotti)</t>
        </is>
      </c>
      <c r="C34" s="47" t="inlineStr">
        <is>
          <t>Riferimento di base non aggiornato</t>
        </is>
      </c>
      <c r="D34" s="47" t="n"/>
      <c r="E34" s="47" t="inlineStr">
        <is>
          <t>Bassa</t>
        </is>
      </c>
      <c r="F34" s="50">
        <f>IF(OR(D34="",E34=""),"",MATCH(D34,{"Bassa","Media","Alta"},0)*MATCH(E34,{"Bassa","Media","Alta"},0))</f>
        <v/>
      </c>
      <c r="G34" s="47" t="inlineStr">
        <is>
          <t>Le mappe già scaricate restano valide come riferimento; l'archivio PULSE cresce nel tempo</t>
        </is>
      </c>
      <c r="H34" s="47" t="inlineStr">
        <is>
          <t>A6</t>
        </is>
      </c>
      <c r="I34" s="47" t="n"/>
      <c r="J34" s="47" t="inlineStr">
        <is>
          <t>Giuseppe</t>
        </is>
      </c>
      <c r="K34" s="47" t="inlineStr">
        <is>
          <t>Aperto</t>
        </is>
      </c>
      <c r="L34" s="47" t="inlineStr">
        <is>
          <t>A4</t>
        </is>
      </c>
      <c r="M34" s="47" t="inlineStr">
        <is>
          <t>Nato in A4.2 (D-061). Probabilità da valutare in A6</t>
        </is>
      </c>
    </row>
    <row r="35" ht="15" customHeight="1" s="26">
      <c r="A35" s="47" t="inlineStr">
        <is>
          <t>R-34</t>
        </is>
      </c>
      <c r="B35" s="47" t="inlineStr">
        <is>
          <t>Nebbia e nubi basse notturne (es. Pianura Padana d'inverno) non riconosciute dalla maschera MTG all'infrarosso</t>
        </is>
      </c>
      <c r="C35" s="47" t="inlineStr">
        <is>
          <t>Falso blackout se anche gli indizi a bordo non la colgono</t>
        </is>
      </c>
      <c r="D35" s="47" t="n"/>
      <c r="E35" s="47" t="inlineStr">
        <is>
          <t>Alta</t>
        </is>
      </c>
      <c r="F35" s="50">
        <f>IF(OR(D35="",E35=""),"",MATCH(D35,{"Bassa","Media","Alta"},0)*MATCH(E35,{"Bassa","Media","Alta"},0))</f>
        <v/>
      </c>
      <c r="G35" s="47" t="inlineStr">
        <is>
          <t>Indizi di nitidezza a bordo; prodotto nebbia notturna MTG (canali 3,8 e 10,5 µm, TBC); "non confermabile" nelle zone e stagioni a rischio nebbia senza indizi chiari</t>
        </is>
      </c>
      <c r="H35" s="47" t="inlineStr">
        <is>
          <t>A4</t>
        </is>
      </c>
      <c r="I35" s="47" t="n"/>
      <c r="J35" s="47" t="inlineStr">
        <is>
          <t>Giuseppe</t>
        </is>
      </c>
      <c r="K35" s="47" t="inlineStr">
        <is>
          <t>Aperto</t>
        </is>
      </c>
      <c r="L35" s="47" t="inlineStr">
        <is>
          <t>A4</t>
        </is>
      </c>
      <c r="M35" s="47" t="inlineStr">
        <is>
          <t>Nato in A4.3 (D-062). Probabilità da valutare in A6</t>
        </is>
      </c>
    </row>
    <row r="36" ht="15" customHeight="1" s="26">
      <c r="A36" s="47" t="inlineStr">
        <is>
          <t>R-35</t>
        </is>
      </c>
      <c r="B36" s="47" t="inlineStr">
        <is>
          <t>Errore sul fondo lunare maggiore del 10% ipotizzato (campi vicini con albedo diverso dal paese, albedo stagionale, ombre)</t>
        </is>
      </c>
      <c r="C36" s="47" t="inlineStr">
        <is>
          <t>Paesi non confermabili nelle notti di luna forte</t>
        </is>
      </c>
      <c r="D36" s="47" t="n"/>
      <c r="E36" s="47" t="inlineStr">
        <is>
          <t>Media</t>
        </is>
      </c>
      <c r="F36" s="50">
        <f>IF(OR(D36="",E36=""),"",MATCH(D36,{"Bassa","Media","Alta"},0)*MATCH(E36,{"Bassa","Media","Alta"},0))</f>
        <v/>
      </c>
      <c r="G36" s="47" t="inlineStr">
        <is>
          <t>Albedo da immagini diurne recenti della stessa stagione; più zone di campo attorno al paese; con incertezza alta l'allarme diventa "non confermabile"</t>
        </is>
      </c>
      <c r="H36" s="47" t="inlineStr">
        <is>
          <t>Fase B</t>
        </is>
      </c>
      <c r="I36" s="47" t="n"/>
      <c r="J36" s="47" t="inlineStr">
        <is>
          <t>Giuseppe</t>
        </is>
      </c>
      <c r="K36" s="47" t="inlineStr">
        <is>
          <t>Aperto</t>
        </is>
      </c>
      <c r="L36" s="47" t="inlineStr">
        <is>
          <t>A4</t>
        </is>
      </c>
      <c r="M36" s="47" t="inlineStr">
        <is>
          <t>Nato in A4.4 (D-063). Probabilità da valutare in A6</t>
        </is>
      </c>
    </row>
    <row r="37" ht="15" customHeight="1" s="26">
      <c r="A37" s="47" t="inlineStr">
        <is>
          <t>R-36</t>
        </is>
      </c>
      <c r="B37" s="47" t="inlineStr">
        <is>
          <t>Margine stretto della soglia del 70%: variazione tra notti o luci residue nel blackout maggiori delle ipotesi (20% e 10–20%)</t>
        </is>
      </c>
      <c r="C37" s="47" t="inlineStr">
        <is>
          <t>Falsi allarmi o blackout persi</t>
        </is>
      </c>
      <c r="D37" s="47" t="n"/>
      <c r="E37" s="47" t="inlineStr">
        <is>
          <t>Alta</t>
        </is>
      </c>
      <c r="F37" s="50">
        <f>IF(OR(D37="",E37=""),"",MATCH(D37,{"Bassa","Media","Alta"},0)*MATCH(E37,{"Bassa","Media","Alta"},0))</f>
        <v/>
      </c>
      <c r="G37" s="47" t="inlineStr">
        <is>
          <t>Taratura in Fase B su blackout reali con dati VIIRS giornalieri; fascia "calo parziale" come cuscinetto; conferma a terra (D-062)</t>
        </is>
      </c>
      <c r="H37" s="47" t="inlineStr">
        <is>
          <t>Fase B</t>
        </is>
      </c>
      <c r="I37" s="47" t="n"/>
      <c r="J37" s="47" t="inlineStr">
        <is>
          <t>Giuseppe</t>
        </is>
      </c>
      <c r="K37" s="47" t="inlineStr">
        <is>
          <t>Aperto</t>
        </is>
      </c>
      <c r="L37" s="47" t="inlineStr">
        <is>
          <t>A4</t>
        </is>
      </c>
      <c r="M37" s="47" t="inlineStr">
        <is>
          <t>Nato in A4.5 (D-064). Probabilità da valutare in A6</t>
        </is>
      </c>
    </row>
    <row r="38" ht="15" customHeight="1" s="26">
      <c r="A38" s="47" t="inlineStr">
        <is>
          <t>R-37</t>
        </is>
      </c>
      <c r="B38" s="47" t="inlineStr">
        <is>
          <t>Archivio notturno PULSE costruito troppo lentamente (poche scene per notte, nuvole, luna)</t>
        </is>
      </c>
      <c r="C38" s="47" t="inlineStr">
        <is>
          <t>Per molto tempo solo riferimento VIIRS: confermati solo blackout ≥ ~1 km</t>
        </is>
      </c>
      <c r="D38" s="47" t="n"/>
      <c r="E38" s="47" t="inlineStr">
        <is>
          <t>Media</t>
        </is>
      </c>
      <c r="F38" s="50">
        <f>IF(OR(D38="",E38=""),"",MATCH(D38,{"Bassa","Media","Alta"},0)*MATCH(E38,{"Bassa","Media","Alta"},0))</f>
        <v/>
      </c>
      <c r="G38" s="47" t="inlineStr">
        <is>
          <t>Priorità a città e zone a rischio; uso delle notti senza richieste; VIIRS come base (D-061)</t>
        </is>
      </c>
      <c r="H38" s="47" t="inlineStr">
        <is>
          <t>A5</t>
        </is>
      </c>
      <c r="I38" s="47" t="n"/>
      <c r="J38" s="47" t="inlineStr">
        <is>
          <t>Entrambi</t>
        </is>
      </c>
      <c r="K38" s="47" t="inlineStr">
        <is>
          <t>Aperto</t>
        </is>
      </c>
      <c r="L38" s="47" t="inlineStr">
        <is>
          <t>A4</t>
        </is>
      </c>
      <c r="M38" s="47" t="inlineStr">
        <is>
          <t>Nato in A4.6 (D-065). Dipende dalle scene per notte (Giuliano). Probabilità da valutare in A6 26/10/2026 (D-067): scene d'archivio scaricate in coda entro 24 h; con margine nel contatto notturno (A5.5) si passa allo scarico immediato. 30/10/2026 (D-073): invecchiamento nella coda di scarico, l'archivio non resta fermo oltre 24 h. | 30/10/2026 (D-083): archivio scaricato nello stesso contatto notturno; ~11 scene/notte con 4 satelliti, tutta Italia in ~290 notti utili.</t>
        </is>
      </c>
    </row>
    <row r="39" ht="15" customHeight="1" s="26">
      <c r="A39" s="47" t="inlineStr">
        <is>
          <t>R-38</t>
        </is>
      </c>
      <c r="B39" s="47" t="inlineStr">
        <is>
          <t>Seconda ripresa notturna possibile solo per una parte dei bersagli (16% da prime riprese ≤ 30°, 28% da ≤ 45°)</t>
        </is>
      </c>
      <c r="C39" s="47" t="inlineStr">
        <is>
          <t>La maggior parte dei casi dubbi resta "non confermabile" fino alla notte successiva</t>
        </is>
      </c>
      <c r="D39" s="47" t="inlineStr">
        <is>
          <t>Alta</t>
        </is>
      </c>
      <c r="E39" s="47" t="inlineStr">
        <is>
          <t>Bassa</t>
        </is>
      </c>
      <c r="F39" s="50">
        <f>IF(OR(D39="",E39=""),"",MATCH(D39,{"Bassa","Media","Alta"},0)*MATCH(E39,{"Bassa","Media","Alta"},0))</f>
        <v/>
      </c>
      <c r="G39" s="47" t="inlineStr">
        <is>
          <t>Ripresa la notte dopo entro le 48 h di MR-02; seconda ripresa su richiesta (D-066, opzione C) e criteri di priorità nella pianificazione da valutare in Fase B</t>
        </is>
      </c>
      <c r="H39" s="47" t="inlineStr">
        <is>
          <t>Fase B</t>
        </is>
      </c>
      <c r="I39" s="47" t="n"/>
      <c r="J39" s="47" t="inlineStr">
        <is>
          <t>Entrambi</t>
        </is>
      </c>
      <c r="K39" s="47" t="inlineStr">
        <is>
          <t>Aperto</t>
        </is>
      </c>
      <c r="L39" s="47" t="inlineStr">
        <is>
          <t>A4</t>
        </is>
      </c>
      <c r="M39" s="47" t="inlineStr">
        <is>
          <t>Nato con D-066 (26/10/2026). Impatto basso: l'allarme resta e si conferma più tardi</t>
        </is>
      </c>
    </row>
    <row r="40">
      <c r="A40" s="47" t="inlineStr">
        <is>
          <t>R-39</t>
        </is>
      </c>
      <c r="B40" s="47" t="inlineStr">
        <is>
          <t>Spazio sulla faccia a nadir insufficiente per l'antenna TT&amp;C accanto all'apertura del telescopio, o disturbo elettromagnetico sui sensori</t>
        </is>
      </c>
      <c r="C40" s="47" t="inlineStr">
        <is>
          <t>Antenna da spostare su una faccia laterale (copertura ridotta vicino al nadir) o schermature in più</t>
        </is>
      </c>
      <c r="D40" s="47" t="inlineStr">
        <is>
          <t>Media</t>
        </is>
      </c>
      <c r="E40" s="47" t="inlineStr">
        <is>
          <t>Bassa</t>
        </is>
      </c>
      <c r="F40" s="50">
        <f>IF(OR(D40="",E40=""),"",MATCH(D40,{"Bassa","Media","Alta"},0)*MATCH(E40,{"Bassa","Media","Alta"},0))</f>
        <v/>
      </c>
      <c r="G40" s="47" t="inlineStr">
        <is>
          <t>Superficie libera da Giuseppe (A5 payload); in alternativa antenna sullo spigolo o su una faccia laterale inclinata verso nadir; verifica EMC in Fase B</t>
        </is>
      </c>
      <c r="H40" s="47" t="inlineStr">
        <is>
          <t>A5.7</t>
        </is>
      </c>
      <c r="I40" s="47" t="n"/>
      <c r="J40" s="47" t="inlineStr">
        <is>
          <t>Entrambi</t>
        </is>
      </c>
      <c r="K40" s="47" t="inlineStr">
        <is>
          <t>In mitigazione</t>
        </is>
      </c>
      <c r="L40" s="47" t="inlineStr">
        <is>
          <t>A5</t>
        </is>
      </c>
      <c r="M40" s="47" t="inlineStr">
        <is>
          <t>Nato con D-068 (30/10/2026). Collegato a R-01 (telescopio a sezione intera vicino al primario) | 30/10/2026 (D-078): telescopio spostato su un lato, striscia libera ~66 × 206 mm per l'antenna a nadir. | 30/10/2026 (D-080): antenna compatta ≤ 60 mm su ceramica; riserva antenna su spigolo o faccia laterale inclinata (K3).</t>
        </is>
      </c>
    </row>
    <row r="41">
      <c r="A41" s="47" t="inlineStr">
        <is>
          <t>R-40</t>
        </is>
      </c>
      <c r="B41" s="47" t="inlineStr">
        <is>
          <t>Licenza di frequenza in banda S con larghezza di banda minore di quella richiesta (~6,8 MHz) o tempi lunghi di coordinamento ITU</t>
        </is>
      </c>
      <c r="C41" s="47" t="inlineStr">
        <is>
          <t>Velocità di discesa ridotta (es. 1 Mbit/s, ~0,5 GB/giorno) o ritardo del lancio</t>
        </is>
      </c>
      <c r="D41" s="47" t="inlineStr">
        <is>
          <t>Media</t>
        </is>
      </c>
      <c r="E41" s="47" t="inlineStr">
        <is>
          <t>Media</t>
        </is>
      </c>
      <c r="F41" s="50">
        <f>IF(OR(D41="",E41=""),"",MATCH(D41,{"Bassa","Media","Alta"},0)*MATCH(E41,{"Bassa","Media","Alta"},0))</f>
        <v/>
      </c>
      <c r="G41" s="47" t="inlineStr">
        <is>
          <t>Avviare presto la pratica (Fase B); la velocità variabile (D-069) permette di scendere a 1–2 Mbit/s senza cambiare hardware; volume da scaricare ridotto dalla catena a bordo (D-007, D-065)</t>
        </is>
      </c>
      <c r="H41" s="47" t="inlineStr">
        <is>
          <t>Fase B</t>
        </is>
      </c>
      <c r="I41" s="47" t="n"/>
      <c r="J41" s="47" t="inlineStr">
        <is>
          <t>Giuliano</t>
        </is>
      </c>
      <c r="K41" s="47" t="inlineStr">
        <is>
          <t>Aperto</t>
        </is>
      </c>
      <c r="L41" s="47" t="inlineStr">
        <is>
          <t>A5</t>
        </is>
      </c>
      <c r="M41" s="47" t="inlineStr">
        <is>
          <t>Nato con D-069 (30/10/2026) | 30/10/2026 (D-082): anche a 1 Mbit/s (~0,5 GB/giorno) il picco di 194 MB/giorno resta scaricabile: impatto del rischio ridotto.</t>
        </is>
      </c>
    </row>
    <row r="42">
      <c r="A42" s="47" t="inlineStr">
        <is>
          <t>R-41</t>
        </is>
      </c>
      <c r="B42" s="47" t="inlineStr">
        <is>
          <t>Compressione meno efficace del previsto su scene molto dettagliate (città, boschi)</t>
        </is>
      </c>
      <c r="C42" s="47" t="inlineStr">
        <is>
          <t>Meno scene scaricate per contatto; coda più lunga</t>
        </is>
      </c>
      <c r="D42" s="47" t="inlineStr">
        <is>
          <t>Media</t>
        </is>
      </c>
      <c r="E42" s="47" t="inlineStr">
        <is>
          <t>Bassa</t>
        </is>
      </c>
      <c r="F42" s="50">
        <f>IF(OR(D42="",E42=""),"",MATCH(D42,{"Bassa","Media","Alta"},0)*MATCH(E42,{"Bassa","Media","Alta"},0))</f>
        <v/>
      </c>
      <c r="G42" s="47" t="inlineStr">
        <is>
          <t>Coda con priorità (allarmi prima), binning 3×3 di notte, prova del compressore su immagini reali o simulate</t>
        </is>
      </c>
      <c r="H42" s="47" t="inlineStr">
        <is>
          <t>Fase B</t>
        </is>
      </c>
      <c r="I42" s="47" t="n"/>
      <c r="J42" s="47" t="inlineStr">
        <is>
          <t>Giuseppe</t>
        </is>
      </c>
      <c r="K42" s="47" t="inlineStr">
        <is>
          <t>Aperto</t>
        </is>
      </c>
      <c r="L42" s="47" t="inlineStr">
        <is>
          <t>A5</t>
        </is>
      </c>
      <c r="M42" s="47" t="inlineStr">
        <is>
          <t>Nato con D-071 (29/10/2026) 30/10/2026: ID rinumerato (era R-39) per un conflitto di numerazione tra le due copie del registro. 30/10/2026 Giuseppe: impatto da Media a Bassa (anche con scene diurne compresse solo 2:1 il caso di emergenza è ~320 MB/giorno, ~16% della banda S; senza compressione ~610 MB); resta aperto fino alla prova del compressore (Fase B).</t>
        </is>
      </c>
    </row>
    <row r="43">
      <c r="A43" s="47" t="inlineStr">
        <is>
          <t>R-42</t>
        </is>
      </c>
      <c r="B43" s="47" t="inlineStr">
        <is>
          <t>Il TMA in asse (D-076) non riesce a dare un'immagine nitida su tutto il campo di 3,9° richiesto dai due sensori affiancati (D-027)</t>
        </is>
      </c>
      <c r="C43" s="47" t="inlineStr">
        <is>
          <t>Uno dei due sensori ai bordi del campo vede un'immagine sfocata</t>
        </is>
      </c>
      <c r="D43" s="47" t="inlineStr">
        <is>
          <t>Media</t>
        </is>
      </c>
      <c r="E43" s="47" t="inlineStr">
        <is>
          <t>Alta</t>
        </is>
      </c>
      <c r="F43" s="50">
        <f>IF(OR(D43="",E43=""),"",MATCH(D43,{"Bassa","Media","Alta"},0)*MATCH(E43,{"Bassa","Media","Alta"},0))</f>
        <v/>
      </c>
      <c r="G43" s="47" t="inlineStr">
        <is>
          <t>Verifica con progettista ottico in Fase B; riserve: sensori più vicini al centro, campo ridotto o sensore notturno più piccolo</t>
        </is>
      </c>
      <c r="H43" s="47" t="inlineStr">
        <is>
          <t>Fase B</t>
        </is>
      </c>
      <c r="I43" s="47" t="n"/>
      <c r="J43" s="47" t="inlineStr">
        <is>
          <t>Giuseppe</t>
        </is>
      </c>
      <c r="K43" s="47" t="inlineStr">
        <is>
          <t>Chiuso</t>
        </is>
      </c>
      <c r="L43" s="47" t="inlineStr">
        <is>
          <t>A5</t>
        </is>
      </c>
      <c r="M43" s="47" t="inlineStr">
        <is>
          <t>Nato con D-076 (30/10/2026) | 30/10/2026 (A5.P4): avverato e risolto. Il Korsch in asse non regge 3,9° (fasci sovrapposti sullo specchio di rinvio); sostituito dal telescopio RC + 3 lenti (D-088), che regge tutto il campo.</t>
        </is>
      </c>
    </row>
    <row r="44">
      <c r="A44" s="47" t="inlineStr">
        <is>
          <t>R-43</t>
        </is>
      </c>
      <c r="B44" s="47" t="inlineStr">
        <is>
          <t>Il meccanismo del coperchio richiudibile si blocca</t>
        </is>
      </c>
      <c r="C44" s="47" t="inlineStr">
        <is>
          <t>Bloccato chiuso: niente riprese. Bloccato aperto: Sole e iodio sugli specchi (R-23), riprese degradate</t>
        </is>
      </c>
      <c r="D44" s="47" t="inlineStr">
        <is>
          <t>Bassa</t>
        </is>
      </c>
      <c r="E44" s="47" t="inlineStr">
        <is>
          <t>Alta</t>
        </is>
      </c>
      <c r="F44" s="50">
        <f>IF(OR(D44="",E44=""),"",MATCH(D44,{"Bassa","Media","Alta"},0)*MATCH(E44,{"Bassa","Media","Alta"},0))</f>
        <v/>
      </c>
      <c r="G44" s="47" t="inlineStr">
        <is>
          <t>Meccanismo con eredità di volo e prove di vita (cicli) in Fase B; posizione di sicurezza aperta con assetto che tiene il Sole fuori dai 52°</t>
        </is>
      </c>
      <c r="H44" s="47" t="inlineStr">
        <is>
          <t>Fase B</t>
        </is>
      </c>
      <c r="I44" s="47" t="n"/>
      <c r="J44" s="47" t="inlineStr">
        <is>
          <t>Giuseppe</t>
        </is>
      </c>
      <c r="K44" s="47" t="inlineStr">
        <is>
          <t>Aperto</t>
        </is>
      </c>
      <c r="L44" s="47" t="inlineStr">
        <is>
          <t>A5</t>
        </is>
      </c>
      <c r="M44" s="47" t="inlineStr">
        <is>
          <t>Nato con D-079 (30/10/2026) | 30/10/2026: posizione di sicurezza aperta compatibile con il safe GNC se i pannelli sono perpendicolari all'asse ottico (A5.6). | 30/10/2026 (D-106): con ali a zenit il safe tiene il Sole dietro il telescopio (~180°): caso coperchio bloccato aperto coperto</t>
        </is>
      </c>
    </row>
    <row r="45">
      <c r="A45" s="47" t="inlineStr">
        <is>
          <t>R-44</t>
        </is>
      </c>
      <c r="B45" s="47" t="inlineStr">
        <is>
          <t>Il contatto con Fucino dopo le riprese è troppo corto, oppure Fucino non può ricevere dati a 4,3 Mbit/s (antenna, licenza, trasmissione non permessa durante le riprese)</t>
        </is>
      </c>
      <c r="C45" s="47" t="inlineStr">
        <is>
          <t>Gli allarmi diurni arrivano al contatto con Svalbard (~1 h 15 min dopo la ripresa invece di ~2 min); quelli notturni dopo 5–8 min; resta dentro le 48 h di MR-02</t>
        </is>
      </c>
      <c r="D45" s="47" t="inlineStr">
        <is>
          <t>Media</t>
        </is>
      </c>
      <c r="E45" s="47" t="inlineStr">
        <is>
          <t>Bassa</t>
        </is>
      </c>
      <c r="F45" s="50">
        <f>IF(OR(D45="",E45=""),"",MATCH(D45,{"Bassa","Media","Alta"},0)*MATCH(E45,{"Bassa","Media","Alta"},0))</f>
        <v/>
      </c>
      <c r="G45" s="47" t="inlineStr">
        <is>
          <t>Verifica GMAT della finestra Fucino dopo l'ultimo bersaglio (Giuliano); caratteristiche della stazione di Fucino in banda S; se il contatto salta gli allarmi restano in classe 2 della coda (D-073) e partono al primo contatto Svalbard/Fairbanks</t>
        </is>
      </c>
      <c r="H45" s="47" t="inlineStr">
        <is>
          <t>A5.5 (Giuliano), Fase B</t>
        </is>
      </c>
      <c r="I45" s="47" t="n"/>
      <c r="J45" s="47" t="inlineStr">
        <is>
          <t>Entrambi</t>
        </is>
      </c>
      <c r="K45" s="47" t="inlineStr">
        <is>
          <t>Aperto</t>
        </is>
      </c>
      <c r="L45" s="47" t="inlineStr">
        <is>
          <t>A5</t>
        </is>
      </c>
      <c r="M45" s="47" t="inlineStr">
        <is>
          <t>Nato con D-081 (30/10/2026) | 30/10/2026 (G2): vale solo di giorno; finestra residua 50–198 s (GMAT). Da verificare con Telespazio la ricezione S a 4,3 Mbit/s a Fucino.</t>
        </is>
      </c>
    </row>
    <row r="46">
      <c r="A46" s="47" t="inlineStr">
        <is>
          <t>R-45</t>
        </is>
      </c>
      <c r="B46" s="47" t="inlineStr">
        <is>
          <t>Mancato dispiegamento dell'antenna UHF</t>
        </is>
      </c>
      <c r="C46" s="47" t="inlineStr">
        <is>
          <t>Perdita della via di riserva (resta la banda S)</t>
        </is>
      </c>
      <c r="D46" s="47" t="inlineStr">
        <is>
          <t>Bassa</t>
        </is>
      </c>
      <c r="E46" s="47" t="inlineStr">
        <is>
          <t>Media</t>
        </is>
      </c>
      <c r="F46" s="50">
        <f>IF(OR(D46="",E46=""),"",MATCH(D46,{"Bassa","Media","Alta"},0)*MATCH(E46,{"Bassa","Media","Alta"},0))</f>
        <v/>
      </c>
      <c r="G46" s="47" t="inlineStr">
        <is>
          <t>Antenna con eredità di volo e prove di dispiegamento (Fase B/C); la catena S resta la via principale con antenne fisse</t>
        </is>
      </c>
      <c r="H46" s="47" t="inlineStr">
        <is>
          <t>Fase B</t>
        </is>
      </c>
      <c r="I46" s="47" t="n"/>
      <c r="J46" s="47" t="inlineStr">
        <is>
          <t>Giuliano</t>
        </is>
      </c>
      <c r="K46" s="47" t="inlineStr">
        <is>
          <t>Aperto</t>
        </is>
      </c>
      <c r="L46" s="47" t="inlineStr">
        <is>
          <t>A5</t>
        </is>
      </c>
      <c r="M46" s="47" t="inlineStr">
        <is>
          <t>Nato con D-082 (30/10/2026). Anche disponibilità di stazioni UHF e licenza 400,15–401 MHz da verificare</t>
        </is>
      </c>
    </row>
    <row r="47">
      <c r="A47" s="47" t="inlineStr">
        <is>
          <t>R-46</t>
        </is>
      </c>
      <c r="B47" s="47" t="inlineStr">
        <is>
          <t>Ricetrasmettitore S di riferimento (classe XLink-S) senza eredità di volo verificabile</t>
        </is>
      </c>
      <c r="C47" s="47" t="inlineStr">
        <is>
          <t>Ritardi o sostituzione della radio S</t>
        </is>
      </c>
      <c r="D47" s="47" t="inlineStr">
        <is>
          <t>Media</t>
        </is>
      </c>
      <c r="E47" s="47" t="inlineStr">
        <is>
          <t>Media</t>
        </is>
      </c>
      <c r="F47" s="50">
        <f>IF(OR(D47="",E47=""),"",MATCH(D47,{"Bassa","Media","Alta"},0)*MATCH(E47,{"Bassa","Media","Alta"},0))</f>
        <v/>
      </c>
      <c r="G47" s="47" t="inlineStr">
        <is>
          <t>Verificare i voli con il costruttore in Fase B; ripiego R1 (ISIS TXS2 + ricevitore ISIS, a catalogo) accettando una salita lenta (9,6 kbit/s) o un ricevitore separato più veloce</t>
        </is>
      </c>
      <c r="H47" s="47" t="inlineStr">
        <is>
          <t>Fase B</t>
        </is>
      </c>
      <c r="I47" s="47" t="n"/>
      <c r="J47" s="47" t="inlineStr">
        <is>
          <t>Giuliano</t>
        </is>
      </c>
      <c r="K47" s="47" t="inlineStr">
        <is>
          <t>Aperto</t>
        </is>
      </c>
      <c r="L47" s="47" t="inlineStr">
        <is>
          <t>A5</t>
        </is>
      </c>
      <c r="M47" s="47" t="inlineStr">
        <is>
          <t>Nato con D-084 (30/10/2026)</t>
        </is>
      </c>
    </row>
    <row r="48">
      <c r="A48" s="47" t="inlineStr">
        <is>
          <t>R-47</t>
        </is>
      </c>
      <c r="B48" s="47" t="inlineStr">
        <is>
          <t>Il chip AI scelto (famiglia commerciale) esce di produzione o cambia prima della costruzione dei 4 satelliti</t>
        </is>
      </c>
      <c r="C48" s="47" t="inlineStr">
        <is>
          <t>Riprogettare la schedina AI e riportare la rete sul nuovo chip; ritardo</t>
        </is>
      </c>
      <c r="D48" s="47" t="inlineStr">
        <is>
          <t>Media</t>
        </is>
      </c>
      <c r="E48" s="47" t="inlineStr">
        <is>
          <t>Media</t>
        </is>
      </c>
      <c r="F48" s="50">
        <f>IF(OR(D48="",E48=""),"",MATCH(D48,{"Bassa","Media","Alta"},0)*MATCH(E48,{"Bassa","Media","Alta"},0))</f>
        <v/>
      </c>
      <c r="G48" s="47" t="inlineStr">
        <is>
          <t>Verificare in Fase B disponibilità e piano di produzione; tenere la rete in un formato portabile; FPGA dell'opzione 1 come riserva (stesse interfacce)</t>
        </is>
      </c>
      <c r="H48" s="47" t="inlineStr">
        <is>
          <t>Fase B</t>
        </is>
      </c>
      <c r="I48" s="47" t="n"/>
      <c r="J48" s="47" t="inlineStr">
        <is>
          <t>Giuseppe</t>
        </is>
      </c>
      <c r="K48" s="47" t="inlineStr">
        <is>
          <t>Aperto</t>
        </is>
      </c>
      <c r="L48" s="47" t="inlineStr">
        <is>
          <t>A5</t>
        </is>
      </c>
      <c r="M48" s="47" t="inlineStr">
        <is>
          <t>Nato con D-085 (30/10/2026)</t>
        </is>
      </c>
    </row>
    <row r="49" s="26">
      <c r="A49" s="47" t="inlineStr">
        <is>
          <t>R-48</t>
        </is>
      </c>
      <c r="B49" s="47" t="inlineStr">
        <is>
          <t>Il chip AI commerciale subisce errori o blocchi da radiazione (inversione di bit, latch-up)</t>
        </is>
      </c>
      <c r="C49" s="47" t="inlineStr">
        <is>
          <t>Elaborazione interrotta o risultato sbagliato; allarmi in ritardo fino al riavvio</t>
        </is>
      </c>
      <c r="D49" s="47" t="inlineStr">
        <is>
          <t>Bassa</t>
        </is>
      </c>
      <c r="E49" s="47" t="inlineStr">
        <is>
          <t>Media</t>
        </is>
      </c>
      <c r="F49" s="50">
        <f>IF(OR(D49="",E49=""),"",MATCH(D49,{"Bassa","Media","Alta"},0)*MATCH(E49,{"Bassa","Media","Alta"},0))</f>
        <v/>
      </c>
      <c r="G49" s="47" t="inlineStr">
        <is>
          <t>Orbita bassa (302 km, dose ridotta); controllo dell'FPGA con riavvio automatico e protezione da sovracorrente; modo degradato DR-51; controllo dei risultati a terra (D-065)</t>
        </is>
      </c>
      <c r="H49" s="47" t="inlineStr">
        <is>
          <t>Fase B (prove di radiazione)</t>
        </is>
      </c>
      <c r="I49" s="47" t="n"/>
      <c r="J49" s="47" t="inlineStr">
        <is>
          <t>Giuseppe</t>
        </is>
      </c>
      <c r="K49" s="47" t="inlineStr">
        <is>
          <t>Aperto</t>
        </is>
      </c>
      <c r="L49" s="47" t="inlineStr">
        <is>
          <t>A5</t>
        </is>
      </c>
      <c r="M49" s="47" t="inlineStr">
        <is>
          <t>Nato con D-085 (30/10/2026)</t>
        </is>
      </c>
    </row>
    <row r="50" s="26">
      <c r="A50" s="47" t="inlineStr">
        <is>
          <t>R-49</t>
        </is>
      </c>
      <c r="B50" s="47" t="inlineStr">
        <is>
          <t>La struttura in fibra di carbonio cambia lunghezza dopo il lancio (rilascio di umidità nel vuoto nei primi mesi, assestamento) o con la temperatura, e il sensore esce dal fuoco</t>
        </is>
      </c>
      <c r="C50" s="47" t="inlineStr">
        <is>
          <t>Fuoco fuori da ±37 µm (DR-03): immagini diurne meno nitide (a ±50 µm errore d'onda 44 nm, a ±100 µm 81 nm)</t>
        </is>
      </c>
      <c r="D50" s="47" t="inlineStr">
        <is>
          <t>Media</t>
        </is>
      </c>
      <c r="E50" s="47" t="inlineStr">
        <is>
          <t>Media</t>
        </is>
      </c>
      <c r="F50" s="50">
        <f>IF(OR(D50="",E50=""),"",MATCH(D50,{"Bassa","Media","Alta"},0)*MATCH(E50,{"Bassa","Media","Alta"},0))</f>
        <v/>
      </c>
      <c r="G50" s="47" t="inlineStr">
        <is>
          <t>Carbonio con resina a basso assorbimento d'acqua e barriera all'umidità; analisi termo-ottica e prova in termo-vuoto (Fase B/C); se il margine non basta, piccolo meccanismo di fuoco sul secondario (decisione in Fase B); fuoco controllato in volo al commissioning</t>
        </is>
      </c>
      <c r="H50" s="47" t="inlineStr">
        <is>
          <t>Fase B</t>
        </is>
      </c>
      <c r="I50" s="47" t="n"/>
      <c r="J50" s="47" t="inlineStr">
        <is>
          <t>Giuseppe</t>
        </is>
      </c>
      <c r="K50" s="47" t="inlineStr">
        <is>
          <t>In mitigazione</t>
        </is>
      </c>
      <c r="L50" s="47" t="inlineStr">
        <is>
          <t>A5</t>
        </is>
      </c>
      <c r="M50" s="47" t="inlineStr">
        <is>
          <t>Nato con D-088 e D-090 (30/10/2026). Collegato a R-24 (calore del motore) | 30/10/2026 (D-098): l'umidità è risolta con le aste in Invar; resta la deriva con la temperatura (±11 K, DR-57) e l'assestamento al lancio, da verificare in Fase B; motorino di fuoco come riserva.</t>
        </is>
      </c>
    </row>
    <row r="51" s="26">
      <c r="A51" s="47" t="inlineStr">
        <is>
          <t>R-50</t>
        </is>
      </c>
      <c r="B51" s="47" t="inlineStr">
        <is>
          <t>Luce parassita: luce che passa dal foro centrale del primario o rimbalza sul tubo e arriva ai sensori senza formare immagine</t>
        </is>
      </c>
      <c r="C51" s="47" t="inlineStr">
        <is>
          <t>Contrasto più basso; di notte fondo più alto vicino a città illuminate o con la Luna (SNR più basso, falsi segnali nella conferma blackout)</t>
        </is>
      </c>
      <c r="D51" s="47" t="inlineStr">
        <is>
          <t>Media</t>
        </is>
      </c>
      <c r="E51" s="47" t="inlineStr">
        <is>
          <t>Media</t>
        </is>
      </c>
      <c r="F51" s="50">
        <f>IF(OR(D51="",E51=""),"",MATCH(D51,{"Bassa","Media","Alta"},0)*MATCH(E51,{"Bassa","Media","Alta"},0))</f>
        <v/>
      </c>
      <c r="G51" s="47" t="inlineStr">
        <is>
          <t>Tubetto paraluce nel foro del primario e paraluce intorno al secondario (normali negli RC), alette interne nel tubo, vernice nera; analisi di luce parassita in Fase B; fondo misurato e tolto come per la Luna (D-063)</t>
        </is>
      </c>
      <c r="H51" s="47" t="inlineStr">
        <is>
          <t>Fase B</t>
        </is>
      </c>
      <c r="I51" s="47" t="n"/>
      <c r="J51" s="47" t="inlineStr">
        <is>
          <t>Giuseppe</t>
        </is>
      </c>
      <c r="K51" s="47" t="inlineStr">
        <is>
          <t>Aperto</t>
        </is>
      </c>
      <c r="L51" s="47" t="inlineStr">
        <is>
          <t>A5</t>
        </is>
      </c>
      <c r="M51" s="47" t="inlineStr">
        <is>
          <t>Nato con D-088 (30/10/2026). Collegato a R-20 (modello SNR senza luce parassita)</t>
        </is>
      </c>
    </row>
    <row r="52" s="26">
      <c r="A52" s="47" t="inlineStr">
        <is>
          <t>R-51</t>
        </is>
      </c>
      <c r="B52" s="47" t="inlineStr">
        <is>
          <t>Il calore della scheda payload, montata vicino al piano focale (D-091), scalda i sensori o il telescopio</t>
        </is>
      </c>
      <c r="C52" s="47" t="inlineStr">
        <is>
          <t>Fuoco spostato oltre ±37 µm (DR-03) o sensore notturno più caldo (più corrente di buio, SNR notturno più basso)</t>
        </is>
      </c>
      <c r="D52" s="47" t="inlineStr">
        <is>
          <t>Bassa</t>
        </is>
      </c>
      <c r="E52" s="47" t="inlineStr">
        <is>
          <t>Media</t>
        </is>
      </c>
      <c r="F52" s="50">
        <f>IF(OR(D52="",E52=""),"",MATCH(D52,{"Bassa","Media","Alta"},0)*MATCH(E52,{"Bassa","Media","Alta"},0))</f>
        <v/>
      </c>
      <c r="G52" s="47" t="inlineStr">
        <is>
          <t>Scheda fissata alla struttura con isolamento termico verso il telescopio, radiatore proprio, accesa solo intorno alle riprese (~10 min); verifica nell'analisi termica A5.P7; riserva: scheda divisa in due (opzione C di D-091)</t>
        </is>
      </c>
      <c r="H52" s="47" t="inlineStr">
        <is>
          <t>A5.P7, Fase B</t>
        </is>
      </c>
      <c r="I52" s="47" t="n"/>
      <c r="J52" s="47" t="inlineStr">
        <is>
          <t>Giuseppe</t>
        </is>
      </c>
      <c r="K52" s="47" t="inlineStr">
        <is>
          <t>Aperto</t>
        </is>
      </c>
      <c r="L52" s="47" t="inlineStr">
        <is>
          <t>A5</t>
        </is>
      </c>
      <c r="M52" s="47" t="inlineStr">
        <is>
          <t>Nato con D-091 (30/10/2026). Collegato a R-24, R-49</t>
        </is>
      </c>
    </row>
    <row r="53" s="26">
      <c r="A53" s="47" t="inlineStr">
        <is>
          <t>R-52</t>
        </is>
      </c>
      <c r="B53" s="47" t="inlineStr">
        <is>
          <t>I sensori commerciali (IMX342 di giorno, GSENSE400BSI di notte) non reggono bene la radiazione: blocco da particella singola (latch-up) o pixel caldi che crescono negli anni</t>
        </is>
      </c>
      <c r="C53" s="47" t="inlineStr">
        <is>
          <t>Latch-up: sensore danneggiato se non protetto. Pixel caldi e buio in aumento: SNR notturno più basso e falsi punti luminosi (conferma blackout)</t>
        </is>
      </c>
      <c r="D53" s="47" t="inlineStr">
        <is>
          <t>Media</t>
        </is>
      </c>
      <c r="E53" s="47" t="inlineStr">
        <is>
          <t>Media</t>
        </is>
      </c>
      <c r="F53" s="50">
        <f>IF(OR(D53="",E53=""),"",MATCH(D53,{"Bassa","Media","Alta"},0)*MATCH(E53,{"Bassa","Media","Alta"},0))</f>
        <v/>
      </c>
      <c r="G53" s="47" t="inlineStr">
        <is>
          <t>Prove a protoni e ioni pesanti in Fase B (DR-54); limitatore di corrente con riavvio; mappa dei pixel caldi aggiornata in volo e tolta a terra; sensore notturno freddo (DR-55); seconde fonti: GMAX3265 (giorno), Teledyne Emerald 67M USV già selezionato per lo spazio (riserva con meno SNR)</t>
        </is>
      </c>
      <c r="H53" s="47" t="inlineStr">
        <is>
          <t>Fase B</t>
        </is>
      </c>
      <c r="I53" s="47" t="n"/>
      <c r="J53" s="47" t="inlineStr">
        <is>
          <t>Giuseppe</t>
        </is>
      </c>
      <c r="K53" s="47" t="inlineStr">
        <is>
          <t>Aperto</t>
        </is>
      </c>
      <c r="L53" s="47" t="inlineStr">
        <is>
          <t>A5</t>
        </is>
      </c>
      <c r="M53" s="47" t="inlineStr">
        <is>
          <t>Nato con D-093 e D-094 (30/10/2026)</t>
        </is>
      </c>
    </row>
    <row r="54" s="26">
      <c r="A54" s="47" t="inlineStr">
        <is>
          <t>R-53</t>
        </is>
      </c>
      <c r="B54" s="47" t="inlineStr">
        <is>
          <t>Il controllo d'assetto non riesce a tenere il rallentamento diurno (D-096) abbastanza regolare, oppure la manovra allunga troppo le scene</t>
        </is>
      </c>
      <c r="C54" s="47" t="inlineStr">
        <is>
          <t>Passaggi TDI non allineati (immagine sfocata) o meno scene per passaggio sull'Italia</t>
        </is>
      </c>
      <c r="D54" s="47" t="inlineStr">
        <is>
          <t>Bassa</t>
        </is>
      </c>
      <c r="E54" s="47" t="inlineStr">
        <is>
          <t>Media</t>
        </is>
      </c>
      <c r="F54" s="50">
        <f>IF(OR(D54="",E54=""),"",MATCH(D54,{"Bassa","Media","Alta"},0)*MATCH(E54,{"Bassa","Media","Alta"},0))</f>
        <v/>
      </c>
      <c r="G54" s="47" t="inlineStr">
        <is>
          <t>Simulazione del profilo con il modello ADCS di A5.3 (Giuliano); riallineamento a bordo con il modello geometrico (DR-26); ripiego opzione C (0,1 ms senza manovra, SNR −30%) o rallentamento più piccolo</t>
        </is>
      </c>
      <c r="H54" s="47" t="inlineStr">
        <is>
          <t>A5.7, Fase B</t>
        </is>
      </c>
      <c r="I54" s="47" t="n"/>
      <c r="J54" s="47" t="inlineStr">
        <is>
          <t>Entrambi</t>
        </is>
      </c>
      <c r="K54" s="47" t="inlineStr">
        <is>
          <t>In mitigazione</t>
        </is>
      </c>
      <c r="L54" s="47" t="inlineStr">
        <is>
          <t>A5</t>
        </is>
      </c>
      <c r="M54" s="47" t="inlineStr">
        <is>
          <t>Nato con D-096 (30/10/2026) | 30/10/2026 (D-101): simulazione 1-asse fatta: profilo tenuto (deriva ≤ 0,001°/s, errore ≤ 0,012°), +2,1–2,7 s per scena, giorni con ≥ 4 scene 40% → 30%. Il rischio residuo passa al fattore di scala (R-54) e alla 3-assi in Fase B</t>
        </is>
      </c>
    </row>
    <row r="55" s="26">
      <c r="A55" s="47" t="inlineStr">
        <is>
          <t>R-54</t>
        </is>
      </c>
      <c r="B55" s="47" t="inlineStr">
        <is>
          <t>La calibrazione in volo del fattore di scala del giroscopio di beccheggio non arriva a ~80 ppm (DR-58), o deriva con la temperatura tra una calibrazione e l'altra</t>
        </is>
      </c>
      <c r="C55" s="47" t="inlineStr">
        <is>
          <t>Bande colore e passaggi TDI disallineati di 1–4 pixel nelle riprese diurne con rallentamento</t>
        </is>
      </c>
      <c r="D55" s="47" t="inlineStr">
        <is>
          <t>Media</t>
        </is>
      </c>
      <c r="E55" s="47" t="inlineStr">
        <is>
          <t>Media</t>
        </is>
      </c>
      <c r="F55" s="50">
        <f>IF(OR(D55="",E55=""),"",MATCH(D55,{"Bassa","Media","Alta"},0)*MATCH(E55,{"Bassa","Media","Alta"},0))</f>
        <v/>
      </c>
      <c r="G55" s="47" t="inlineStr">
        <is>
          <t>Calibrazione contro lo star tracker alla velocità del rallentamento, al commissioning e periodica; giroscopio con compensazione termica; riallineamento per correlazione tra le bande (DR-26); ripiego: rallentamento disattivato (opzione C di D-096)</t>
        </is>
      </c>
      <c r="H55" s="47" t="inlineStr">
        <is>
          <t>Fase B (3-assi e modello del giroscopio), commissioning</t>
        </is>
      </c>
      <c r="I55" s="47" t="n"/>
      <c r="J55" s="47" t="inlineStr">
        <is>
          <t>Entrambi</t>
        </is>
      </c>
      <c r="K55" s="47" t="inlineStr">
        <is>
          <t>In mitigazione</t>
        </is>
      </c>
      <c r="L55" s="47" t="inlineStr">
        <is>
          <t>A5</t>
        </is>
      </c>
      <c r="M55" s="47" t="inlineStr">
        <is>
          <t>Nato con D-101 (30/10/2026) | 30/10/2026 (D-101 Approvata): correlazione tra le bande a bordo adottata come complemento (DR-26): sulle scene con contorni corregge l'errore del fattore di scala; il rischio residuo resta sulle zone uniformi (mare, nuvole), dove il disallineamento conta meno</t>
        </is>
      </c>
    </row>
    <row r="56" s="26">
      <c r="A56" s="47" t="inlineStr">
        <is>
          <t>R-55</t>
        </is>
      </c>
      <c r="B56" s="47" t="inlineStr">
        <is>
          <t>Il sensore notturno o la scheda payload, spenti, vengono raffreddati troppo dai propri radiatori (fino a ~−43 °C con il rollio di D-106), sotto i limiti dei componenti</t>
        </is>
      </c>
      <c r="C56" s="47" t="inlineStr">
        <is>
          <t>Guasti o cicli termici eccessivi sull'elettronica e sul sensore; ritardo prima delle riprese per riscaldare</t>
        </is>
      </c>
      <c r="D56" s="47" t="inlineStr">
        <is>
          <t>Media</t>
        </is>
      </c>
      <c r="E56" s="47" t="inlineStr">
        <is>
          <t>Media</t>
        </is>
      </c>
      <c r="F56" s="50">
        <f>IF(OR(D56="",E56=""),"",MATCH(D56,{"Bassa","Media","Alta"},0)*MATCH(E56,{"Bassa","Media","Alta"},0))</f>
        <v/>
      </c>
      <c r="G56" s="47" t="inlineStr">
        <is>
          <t>Riscaldatori di sopravvivenza con termostato (~1 W, D-107); limiti di temperatura dai datasheet; in Fase B interruttore termico o radiatore a collegamento variabile e modello termico completo</t>
        </is>
      </c>
      <c r="H56" s="47" t="inlineStr">
        <is>
          <t>Fase B (modello termico, datasheet)</t>
        </is>
      </c>
      <c r="I56" s="47" t="n"/>
      <c r="J56" s="47" t="inlineStr">
        <is>
          <t>Giuseppe</t>
        </is>
      </c>
      <c r="K56" s="47" t="inlineStr">
        <is>
          <t>In mitigazione</t>
        </is>
      </c>
      <c r="L56" s="47" t="inlineStr">
        <is>
          <t>A5</t>
        </is>
      </c>
      <c r="M56" s="47" t="inlineStr">
        <is>
          <t>Nato con la verifica di D-106 (30/10/2026); il problema c'era già a nadir (~−33 °C), il rollio lo peggiora di ~10 K</t>
        </is>
      </c>
    </row>
    <row r="57" s="26">
      <c r="A57" s="47" t="inlineStr">
        <is>
          <t>R-56</t>
        </is>
      </c>
      <c r="B57" s="47" t="inlineStr">
        <is>
          <t>Con attività solare alta (data di lancio vicina al massimo del ciclo) la potenza dei 6 pannelli non basta per le ~7,8 h/giorno di spinta</t>
        </is>
      </c>
      <c r="C57" s="47" t="inlineStr">
        <is>
          <t>Quota non mantenuta o vita ridotta (come per il propellente, R-12)</t>
        </is>
      </c>
      <c r="D57" s="47" t="inlineStr">
        <is>
          <t>Bassa</t>
        </is>
      </c>
      <c r="E57" s="47" t="inlineStr">
        <is>
          <t>Alta</t>
        </is>
      </c>
      <c r="F57" s="50">
        <f>IF(OR(D57="",E57=""),"",MATCH(D57,{"Bassa","Media","Alta"},0)*MATCH(E57,{"Bassa","Media","Alta"},0))</f>
        <v/>
      </c>
      <c r="G57" s="47" t="inlineStr">
        <is>
          <t>Data di lancio nella fase discendente del ciclo; riserva di 8 pannelli da verificare nel layout (A5.7); riduzione dei consumi fissi (giroscopio 5 W) in Fase B; revisione congiunta con D-033 e D-034 quando la data è nota; regola di bordo 90/80% (D-112): la batteria non si svuota, spinta ridotta a ~5,6 h/giorno</t>
        </is>
      </c>
      <c r="H57" s="47" t="inlineStr">
        <is>
          <t>A6 / Fase B</t>
        </is>
      </c>
      <c r="I57" s="47" t="n"/>
      <c r="J57" s="47" t="inlineStr">
        <is>
          <t>Giuliano</t>
        </is>
      </c>
      <c r="K57" s="47" t="inlineStr">
        <is>
          <t>In mitigazione</t>
        </is>
      </c>
      <c r="L57" s="47" t="inlineStr">
        <is>
          <t>A5</t>
        </is>
      </c>
      <c r="M57" s="47" t="inlineStr">
        <is>
          <t>Nato con D-108 (30/10/2026) | 30/10/2026 (A5.6.7): senza regola la batteria si svuota in &lt; 1 giorno; con D-112 spinta ~5,6 h/giorno (servono 7,8) | 31/10/2026 (D-127): posto per 8 ali tenuto solo come geometria; con 8 ali servono ruote più grandi o slew più lenti (Ixx ~6,4 kg·m², 0,166 N·m·s per 45° in 60 s)</t>
        </is>
      </c>
    </row>
    <row r="58" s="26">
      <c r="A58" s="47" t="inlineStr">
        <is>
          <t>R-57</t>
        </is>
      </c>
      <c r="B58" s="47" t="inlineStr">
        <is>
          <t>Il calore del REGULUS che entra nel satellite dall'attacco è più alto della stima di 15 W (fino a 48,5 W se il radiatore sull'ugello smaltisce meno del previsto o vede il satellite)</t>
        </is>
      </c>
      <c r="C58" s="47" t="inlineStr">
        <is>
          <t>Interno più caldo in spinta: radiatore della piattaforma insufficiente, batteria e telescopio fuori dai limiti (DR-64, DR-57), spinta da ridurre</t>
        </is>
      </c>
      <c r="D58" s="47" t="inlineStr">
        <is>
          <t>Media</t>
        </is>
      </c>
      <c r="E58" s="47" t="inlineStr">
        <is>
          <t>Media</t>
        </is>
      </c>
      <c r="F58" s="50">
        <f>IF(OR(D58="",E58=""),"",MATCH(D58,{"Bassa","Media","Alta"},0)*MATCH(E58,{"Bassa","Media","Alta"},0))</f>
        <v/>
      </c>
      <c r="G58" s="47" t="inlineStr">
        <is>
          <t>Verifica con i dati T4i in A5.7.1 (Giuliano); caso di sensibilità a 48,5 W nel modello A5.8.3; ugello su −X con il radiatore che vede lo spazio libero; in Fase B ICD T4i e prova termica</t>
        </is>
      </c>
      <c r="H58" s="47" t="inlineStr">
        <is>
          <t>A5.7.1 / A5.8.3</t>
        </is>
      </c>
      <c r="I58" s="47" t="inlineStr">
        <is>
          <t>TBD</t>
        </is>
      </c>
      <c r="J58" s="47" t="inlineStr">
        <is>
          <t>Giuseppe</t>
        </is>
      </c>
      <c r="K58" s="47" t="inlineStr">
        <is>
          <t>Aperto</t>
        </is>
      </c>
      <c r="L58" s="47" t="inlineStr">
        <is>
          <t>A5</t>
        </is>
      </c>
      <c r="M58" s="47" t="inlineStr">
        <is>
          <t>Nato con D-115 (30/10/2026) | 31/10/2026 (A5.7.3): nessun dato pubblico sui W dall'attacco; si chiude con l'ICD di T4i. Radiatore dell'ugello su −X: verificare in A5.7.5 che le ali aperte non lo vedano</t>
        </is>
      </c>
    </row>
    <row r="59" s="26">
      <c r="A59" s="47" t="inlineStr">
        <is>
          <t>R-58</t>
        </is>
      </c>
      <c r="B59" s="47" t="inlineStr">
        <is>
          <t>L'energia dei riscaldatori della piattaforma nei periodi freddi (giorni di routine d'estate, giorni senza spinta) non sta nell'avanzo del bilancio di potenza</t>
        </is>
      </c>
      <c r="C59" s="47" t="inlineStr">
        <is>
          <t>Meno ore di spinta disponibili o interno sotto i 15 °C (batteria e telescopio vicini ai limiti)</t>
        </is>
      </c>
      <c r="D59" s="47" t="inlineStr">
        <is>
          <t>Media</t>
        </is>
      </c>
      <c r="E59" s="47" t="inlineStr">
        <is>
          <t>Media</t>
        </is>
      </c>
      <c r="F59" s="50">
        <f>IF(OR(D59="",E59=""),"",MATCH(D59,{"Bassa","Media","Alta"},0)*MATCH(E59,{"Bassa","Media","Alta"},0))</f>
        <v/>
      </c>
      <c r="G59" s="47" t="inlineStr">
        <is>
          <t>Interno 15–25 °C (D-116); modello a nodi con capacità termica e vernici a fine vita (A5.8.3); riscaldatori solo sulla batteria se basta; nei giorni senza spinta si usa l'energia non spesa per il motore; radiatore a persiane come riserva; tetto di DR-68 (≤ 4 W al bus con margini) come obiettivo del modello a nodi</t>
        </is>
      </c>
      <c r="H59" s="47" t="inlineStr">
        <is>
          <t>A5.8.3–A5.8.4</t>
        </is>
      </c>
      <c r="I59" s="47" t="inlineStr">
        <is>
          <t>TBD</t>
        </is>
      </c>
      <c r="J59" s="47" t="inlineStr">
        <is>
          <t>Giuseppe</t>
        </is>
      </c>
      <c r="K59" s="47" t="inlineStr">
        <is>
          <t>In mitigazione</t>
        </is>
      </c>
      <c r="L59" s="47" t="inlineStr">
        <is>
          <t>A5</t>
        </is>
      </c>
      <c r="M59" s="47" t="inlineStr">
        <is>
          <t>Nato con D-116 (30/10/2026) | 31/10/2026 (D-116 approvata, DR-68): tetto ≤ 4 W medi al bus margini compresi; con 5 W la spinta sostenibile scende a 4,0 h su 4,2 (A5.7, riscaldatori_potenza.py) | 31/10/2026 (D-122): con 600 cm² i riscaldatori della routine d'estate sono ~0,7 W nominali (DR-68: 2,8 W); restano da verificare con l'ICD del REGULUS e le vernici reali</t>
        </is>
      </c>
    </row>
    <row r="60" s="26">
      <c r="A60" s="47" t="inlineStr">
        <is>
          <t>R-59</t>
        </is>
      </c>
      <c r="B60" s="47" t="inlineStr">
        <is>
          <t>Preriscaldamento e raffreddamento del REGULUS (PSH/PSC) o il mantenimento in temperatura (PSTM) richiedono più tempo o energia di quanto previsto, con 16 accensioni brevi al giorno (spinta solo in luce, ~17 min per orbita)</t>
        </is>
      </c>
      <c r="C60" s="47" t="inlineStr">
        <is>
          <t>Meno minuti di spinta utili per orbita o più energia: bilancio di potenza (A5.6) e ore di spinta (D-108) da rifare; più calore all'interno</t>
        </is>
      </c>
      <c r="D60" s="47" t="inlineStr">
        <is>
          <t>Media</t>
        </is>
      </c>
      <c r="E60" s="47" t="inlineStr">
        <is>
          <t>Media</t>
        </is>
      </c>
      <c r="F60" s="50">
        <f>IF(OR(D60="",E60=""),"",MATCH(D60,{"Bassa","Media","Alta"},0)*MATCH(E60,{"Bassa","Media","Alta"},0))</f>
        <v/>
      </c>
      <c r="G60" s="47" t="inlineStr">
        <is>
          <t>Chiedere a T4i durata e potenza di PSH/PSC/PSTM (ICD); se servono, accensioni più lunghe e meno numerose o PSTM nei giorni di spinta, con verifica nel bilancio orbita per orbita; nel caso peggiore 50 W comprensivi (D-104) da rivedere</t>
        </is>
      </c>
      <c r="H60" s="47" t="inlineStr">
        <is>
          <t>A5.7.3 / Fase B</t>
        </is>
      </c>
      <c r="I60" s="47" t="inlineStr">
        <is>
          <t>~6</t>
        </is>
      </c>
      <c r="J60" s="47" t="inlineStr">
        <is>
          <t>Giuliano</t>
        </is>
      </c>
      <c r="K60" s="47" t="inlineStr">
        <is>
          <t>Aperto</t>
        </is>
      </c>
      <c r="L60" s="47" t="inlineStr">
        <is>
          <t>A5</t>
        </is>
      </c>
      <c r="M60" s="47" t="inlineStr">
        <is>
          <t>Nato con D-117 (31/10/2026). EarthNext usa accensioni da ~2,5 h con PSH e PSC a ogni ciclo</t>
        </is>
      </c>
    </row>
    <row r="61" s="26">
      <c r="A61" s="47" t="inlineStr">
        <is>
          <t>R-60</t>
        </is>
      </c>
      <c r="B61" s="47" t="inlineStr">
        <is>
          <t>Le ali solari a catalogo sono qualificate solo fino a −40 °C, ma al buio scendono a ~−70 °C</t>
        </is>
      </c>
      <c r="C61" s="47" t="inlineStr">
        <is>
          <t>Celle o incollaggi danneggiati dai cicli termici (~11.600 in 2 anni), perdita di potenza</t>
        </is>
      </c>
      <c r="D61" s="47" t="inlineStr">
        <is>
          <t>Media</t>
        </is>
      </c>
      <c r="E61" s="47" t="inlineStr">
        <is>
          <t>Media</t>
        </is>
      </c>
      <c r="F61" s="50">
        <f>IF(OR(D61="",E61=""),"",MATCH(D61,{"Bassa","Media","Alta"},0)*MATCH(E61,{"Bassa","Media","Alta"},0))</f>
        <v/>
      </c>
      <c r="G61" s="47" t="inlineStr">
        <is>
          <t>Chiedere al fornitore una qualifica −80…+85 °C (DR-71), comune per pannelli in LEO; retro verniciato ad alta emissività; prova di cicli termici in Fase C</t>
        </is>
      </c>
      <c r="H61" s="47" t="inlineStr">
        <is>
          <t>A5.7 / Fase B</t>
        </is>
      </c>
      <c r="I61" s="47" t="inlineStr">
        <is>
          <t>TBD</t>
        </is>
      </c>
      <c r="J61" s="47" t="inlineStr">
        <is>
          <t>Giuliano</t>
        </is>
      </c>
      <c r="K61" s="47" t="inlineStr">
        <is>
          <t>Aperto</t>
        </is>
      </c>
      <c r="L61" s="47" t="inlineStr">
        <is>
          <t>A5</t>
        </is>
      </c>
      <c r="M61" s="47" t="inlineStr">
        <is>
          <t>Nato con A5.8.5 (31/10/2026) | 31/10/2026 Giuliano: accettato (responsabile Giuliano)</t>
        </is>
      </c>
    </row>
    <row r="62" s="26">
      <c r="A62" s="47" t="inlineStr">
        <is>
          <t>R-61</t>
        </is>
      </c>
      <c r="B62" s="47" t="inlineStr">
        <is>
          <t>Il motore REGULUS (plasma con campo magnetico) ha un dipolo magnetico residuo che disturba il magnetometro e dà una coppia magnetica con il campo terrestre</t>
        </is>
      </c>
      <c r="C62" s="47" t="inlineStr">
        <is>
          <t>Misure del magnetometro falsate (determinazione d'assetto e scarico delle ruote meno precisi); coppia di disturbo in più da scaricare con i magnetorquer</t>
        </is>
      </c>
      <c r="D62" s="47" t="inlineStr">
        <is>
          <t>Media</t>
        </is>
      </c>
      <c r="E62" s="47" t="inlineStr">
        <is>
          <t>Media</t>
        </is>
      </c>
      <c r="F62" s="50">
        <f>IF(OR(D62="",E62=""),"",MATCH(D62,{"Bassa","Media","Alta"},0)*MATCH(E62,{"Bassa","Media","Alta"},0))</f>
        <v/>
      </c>
      <c r="G62" s="47" t="inlineStr">
        <is>
          <t>Chiedere a T4i il dipolo residuo (ICD); magnetometro il più lontano possibile dal motore (bozza A5.7.4: ~280 mm, sopra il telescopio verso +X); calibrazione del dipolo in volo; misura in Fase C</t>
        </is>
      </c>
      <c r="H62" s="47" t="inlineStr">
        <is>
          <t>A5.7.4 / Fase B</t>
        </is>
      </c>
      <c r="I62" s="47" t="inlineStr">
        <is>
          <t>TBD</t>
        </is>
      </c>
      <c r="J62" s="47" t="inlineStr">
        <is>
          <t>Giuliano</t>
        </is>
      </c>
      <c r="K62" s="47" t="inlineStr">
        <is>
          <t>Aperto</t>
        </is>
      </c>
      <c r="L62" s="47" t="inlineStr">
        <is>
          <t>A5</t>
        </is>
      </c>
      <c r="M62" s="47" t="inlineStr">
        <is>
          <t>Nato in A5.7.4 (31/10/2026)</t>
        </is>
      </c>
    </row>
  </sheetData>
  <autoFilter ref="A1:M200"/>
  <conditionalFormatting sqref="F2:F200">
    <cfRule type="expression" rank="0" priority="2" equalAverage="0" aboveAverage="0" dxfId="13" text="" percent="0" bottom="0">
      <formula>AND(ISNUMBER(F2),F2&gt;=6)</formula>
    </cfRule>
    <cfRule type="expression" rank="0" priority="3" equalAverage="0" aboveAverage="0" dxfId="14" text="" percent="0" bottom="0">
      <formula>AND(ISNUMBER(F2),F2&gt;=3,F2&lt;6)</formula>
    </cfRule>
    <cfRule type="expression" rank="0" priority="4" equalAverage="0" aboveAverage="0" dxfId="15" text="" percent="0" bottom="0">
      <formula>AND(ISNUMBER(F2),F2&lt;3)</formula>
    </cfRule>
  </conditionalFormatting>
  <conditionalFormatting sqref="A2:E200">
    <cfRule type="expression" rank="0" priority="5" equalAverage="0" aboveAverage="0" dxfId="8" text="" percent="0" bottom="0">
      <formula>$K2="Chiuso"</formula>
    </cfRule>
  </conditionalFormatting>
  <dataValidations count="4">
    <dataValidation sqref="D2:D200" showDropDown="0" showInputMessage="0" showErrorMessage="0" allowBlank="1" error="Scegli un valore dalla lista" type="list" errorStyle="stop" operator="between">
      <formula1>Liste!$F$2:$F$4</formula1>
      <formula2>0</formula2>
    </dataValidation>
    <dataValidation sqref="E2:E200" showDropDown="0" showInputMessage="0" showErrorMessage="0" allowBlank="1" error="Scegli un valore dalla lista" type="list" errorStyle="stop" operator="between">
      <formula1>Liste!$F$2:$F$4</formula1>
      <formula2>0</formula2>
    </dataValidation>
    <dataValidation sqref="J2:J200" showDropDown="0" showInputMessage="0" showErrorMessage="0" allowBlank="1" error="Scegli un valore dalla lista" type="list" errorStyle="stop" operator="between">
      <formula1>Liste!$B$2:$B$4</formula1>
      <formula2>0</formula2>
    </dataValidation>
    <dataValidation sqref="K2:K200" showDropDown="0" showInputMessage="0" showErrorMessage="0" allowBlank="1" error="Scegli un valore dalla lista" type="list" errorStyle="stop" operator="between">
      <formula1>Liste!$G$2:$G$5</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25" min="1" max="8"/>
  </cols>
  <sheetData>
    <row r="1" ht="15" customHeight="1" s="26">
      <c r="A1" s="51" t="inlineStr">
        <is>
          <t>Stato_dec</t>
        </is>
      </c>
      <c r="B1" s="51" t="inlineStr">
        <is>
          <t>Autore</t>
        </is>
      </c>
      <c r="C1" s="51" t="inlineStr">
        <is>
          <t>Area</t>
        </is>
      </c>
      <c r="D1" s="51" t="inlineStr">
        <is>
          <t>Fase</t>
        </is>
      </c>
      <c r="E1" s="51" t="inlineStr">
        <is>
          <t>Stato_req</t>
        </is>
      </c>
      <c r="F1" s="51" t="inlineStr">
        <is>
          <t>Livello</t>
        </is>
      </c>
      <c r="G1" s="51" t="inlineStr">
        <is>
          <t>Stato_risk</t>
        </is>
      </c>
      <c r="H1" s="51" t="inlineStr">
        <is>
          <t>Tipo_req</t>
        </is>
      </c>
    </row>
    <row r="2" ht="15" customHeight="1" s="26">
      <c r="A2" s="34" t="inlineStr">
        <is>
          <t>Aperta</t>
        </is>
      </c>
      <c r="B2" s="34" t="inlineStr">
        <is>
          <t>Giuliano</t>
        </is>
      </c>
      <c r="C2" s="34" t="inlineStr">
        <is>
          <t>Missione</t>
        </is>
      </c>
      <c r="D2" s="34" t="inlineStr">
        <is>
          <t>Fase 0</t>
        </is>
      </c>
      <c r="E2" s="34" t="inlineStr">
        <is>
          <t>Approvato</t>
        </is>
      </c>
      <c r="F2" s="34" t="inlineStr">
        <is>
          <t>Bassa</t>
        </is>
      </c>
      <c r="G2" s="34" t="inlineStr">
        <is>
          <t>Aperto</t>
        </is>
      </c>
      <c r="H2" s="34" t="inlineStr">
        <is>
          <t>Missione</t>
        </is>
      </c>
    </row>
    <row r="3" ht="15" customHeight="1" s="26">
      <c r="A3" s="34" t="inlineStr">
        <is>
          <t>Proposta</t>
        </is>
      </c>
      <c r="B3" s="34" t="inlineStr">
        <is>
          <t>Giuseppe</t>
        </is>
      </c>
      <c r="C3" s="34" t="inlineStr">
        <is>
          <t>Orbita</t>
        </is>
      </c>
      <c r="D3" s="34" t="inlineStr">
        <is>
          <t>A1</t>
        </is>
      </c>
      <c r="E3" s="34" t="inlineStr">
        <is>
          <t>TBC</t>
        </is>
      </c>
      <c r="F3" s="34" t="inlineStr">
        <is>
          <t>Media</t>
        </is>
      </c>
      <c r="G3" s="34" t="inlineStr">
        <is>
          <t>In mitigazione</t>
        </is>
      </c>
      <c r="H3" s="34" t="inlineStr">
        <is>
          <t>Lancio</t>
        </is>
      </c>
    </row>
    <row r="4" ht="15" customHeight="1" s="26">
      <c r="A4" s="34" t="inlineStr">
        <is>
          <t>Approvata</t>
        </is>
      </c>
      <c r="B4" s="34" t="inlineStr">
        <is>
          <t>Entrambi</t>
        </is>
      </c>
      <c r="C4" s="34" t="inlineStr">
        <is>
          <t>Propulsione</t>
        </is>
      </c>
      <c r="D4" s="34" t="inlineStr">
        <is>
          <t>A1-bis</t>
        </is>
      </c>
      <c r="E4" s="34" t="inlineStr">
        <is>
          <t>TBD</t>
        </is>
      </c>
      <c r="F4" s="34" t="inlineStr">
        <is>
          <t>Alta</t>
        </is>
      </c>
      <c r="G4" s="34" t="inlineStr">
        <is>
          <t>Accettato</t>
        </is>
      </c>
      <c r="H4" s="34" t="inlineStr">
        <is>
          <t>Derivato</t>
        </is>
      </c>
    </row>
    <row r="5" ht="15" customHeight="1" s="26">
      <c r="A5" s="34" t="inlineStr">
        <is>
          <t>Provvisoria</t>
        </is>
      </c>
      <c r="C5" s="34" t="inlineStr">
        <is>
          <t>GNC</t>
        </is>
      </c>
      <c r="D5" s="34" t="inlineStr">
        <is>
          <t>A2</t>
        </is>
      </c>
      <c r="E5" s="34" t="inlineStr">
        <is>
          <t>Da riscrivere</t>
        </is>
      </c>
      <c r="G5" s="34" t="inlineStr">
        <is>
          <t>Chiuso</t>
        </is>
      </c>
    </row>
    <row r="6" ht="15" customHeight="1" s="26">
      <c r="A6" s="34" t="inlineStr">
        <is>
          <t>Superata</t>
        </is>
      </c>
      <c r="C6" s="34" t="inlineStr">
        <is>
          <t>TT&amp;C / Terra</t>
        </is>
      </c>
      <c r="D6" s="34" t="inlineStr">
        <is>
          <t>A3</t>
        </is>
      </c>
      <c r="E6" s="34" t="inlineStr">
        <is>
          <t>Superato</t>
        </is>
      </c>
    </row>
    <row r="7" ht="15" customHeight="1" s="26">
      <c r="C7" s="34" t="inlineStr">
        <is>
          <t>Payload</t>
        </is>
      </c>
      <c r="D7" s="34" t="inlineStr">
        <is>
          <t>A4</t>
        </is>
      </c>
    </row>
    <row r="8" ht="15" customHeight="1" s="26">
      <c r="C8" s="34" t="inlineStr">
        <is>
          <t>AI / Dati</t>
        </is>
      </c>
      <c r="D8" s="34" t="inlineStr">
        <is>
          <t>A5</t>
        </is>
      </c>
    </row>
    <row r="9" ht="15" customHeight="1" s="26">
      <c r="C9" s="34" t="inlineStr">
        <is>
          <t>Potenza</t>
        </is>
      </c>
      <c r="D9" s="34" t="inlineStr">
        <is>
          <t>A6</t>
        </is>
      </c>
    </row>
    <row r="10" ht="15" customHeight="1" s="26">
      <c r="C10" s="34" t="inlineStr">
        <is>
          <t>Termico</t>
        </is>
      </c>
      <c r="D10" s="34" t="inlineStr">
        <is>
          <t>Fase B</t>
        </is>
      </c>
    </row>
    <row r="11" ht="15" customHeight="1" s="26">
      <c r="C11" s="34" t="inlineStr">
        <is>
          <t>Struttura</t>
        </is>
      </c>
    </row>
    <row r="12" ht="15" customHeight="1" s="26">
      <c r="C12" s="34" t="inlineStr">
        <is>
          <t>Lancio</t>
        </is>
      </c>
    </row>
    <row r="13" ht="15" customHeight="1" s="26">
      <c r="C13" s="34" t="inlineStr">
        <is>
          <t>Gestione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2026-10-23T16:24:14Z</dcterms:created>
  <dcterms:modified xmlns:dcterms="http://purl.org/dc/terms/" xmlns:xsi="http://www.w3.org/2001/XMLSchema-instance" xsi:type="dcterms:W3CDTF">2026-10-31T16:56:17Z</dcterms:modified>
  <cp:revision>0</cp:revision>
</cp:coreProperties>
</file>