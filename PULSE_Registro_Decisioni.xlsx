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n"/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inlineStr">
        <is>
          <t>30/10/2026 Giuseppe: con D-076 (TMA in asse, Proposta) il campo di 3,9° per i sensori affiancati resta l'obiettivo ma va verificato per un TMA in asse (R-42).</t>
        </is>
      </c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Superata</t>
        </is>
      </c>
      <c r="M32" s="47" t="inlineStr">
        <is>
          <t>D-077</t>
        </is>
      </c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Approvata</t>
        </is>
      </c>
      <c r="M68" s="47" t="n"/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Proposta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Proposta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Proposta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Approvata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 | 30/10/2026 Giuseppe: approvata.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Approvata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 | 30/10/2026 Giuseppe: approvata; N TBC fino all'analisi termica del payload (A5.P7).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</t>
        </is>
      </c>
    </row>
    <row r="77">
      <c r="A77" s="47" t="inlineStr">
        <is>
          <t>D-076</t>
        </is>
      </c>
      <c r="B77" s="48" t="n">
        <v>46325</v>
      </c>
      <c r="C77" s="47" t="inlineStr">
        <is>
          <t>A5</t>
        </is>
      </c>
      <c r="D77" s="47" t="inlineStr">
        <is>
          <t>Giuseppe</t>
        </is>
      </c>
      <c r="E77" s="47" t="inlineStr">
        <is>
          <t>Payload</t>
        </is>
      </c>
      <c r="F77" s="47" t="inlineStr">
        <is>
          <t>Telescopio TMA in asse a tre specchi (tipo Korsch: primario concavo con foro centrale, secondario al centro, specchio piatto di rinvio, terziario), apertura 12 cm, focale 0,70 m (A2 invariati). Ingombro stimato ~14 × 14 × 20 cm più paraluce (per confronto con Simera TriScape100/200), massa da stimare in A5.P4</t>
        </is>
      </c>
      <c r="G77" s="47" t="inlineStr">
        <is>
          <t>TMA fuori asse 12 cm (scalando l'imager EarthNext, 8U per 8,3 cm / f 500 mm, servirebbero ~12–14U su 16); TMA fuori asse ~8 cm (entra in 8U ma diffrazione ~2,4 m e metà luce: A2 e A3 da rifare)</t>
        </is>
      </c>
      <c r="H77" s="47" t="inlineStr">
        <is>
          <t>Unica soluzione che tiene l'apertura da 12 cm (quindi GSD di A2 e SNR di A3) dentro il 16U e lascia spazio sulla faccia a nadir</t>
        </is>
      </c>
      <c r="I77" s="47" t="inlineStr">
        <is>
          <t>Volume e layout (A5.7, Giuliano); campo per i sensori affiancati (D-027); SNR notturno (ombra del secondario ~9%, D-077)</t>
        </is>
      </c>
      <c r="J77" s="47" t="inlineStr">
        <is>
          <t>V-02</t>
        </is>
      </c>
      <c r="K77" s="47" t="inlineStr">
        <is>
          <t>R-01, R-39, R-42</t>
        </is>
      </c>
      <c r="L77" s="47" t="inlineStr">
        <is>
          <t>Proposta</t>
        </is>
      </c>
      <c r="M77" s="47" t="n"/>
      <c r="N77" s="47" t="inlineStr">
        <is>
          <t>Chat del 30/10/2026 (A5.P2)</t>
        </is>
      </c>
      <c r="O77" s="47" t="inlineStr">
        <is>
          <t>Proposta: cambia la motivazione di D-027 ("campo normale per un TMA fuori asse") e il volume per il layout di Giuliano. Fase 0 diceva solo "TMA, 12 cm, 0,7 m": resta valida. Campo pieno 1,84° × 3,45° (diag. 3,9°) in asse da verificare con un progettista ottico (TBC)</t>
        </is>
      </c>
    </row>
    <row r="78">
      <c r="A78" s="47" t="inlineStr">
        <is>
          <t>D-077</t>
        </is>
      </c>
      <c r="B78" s="48" t="n">
        <v>46325</v>
      </c>
      <c r="C78" s="47" t="inlineStr">
        <is>
          <t>A5</t>
        </is>
      </c>
      <c r="D78" s="47" t="inlineStr">
        <is>
          <t>Giuseppe</t>
        </is>
      </c>
      <c r="E78" s="47" t="inlineStr">
        <is>
          <t>Payload</t>
        </is>
      </c>
      <c r="F78" s="47" t="inlineStr">
        <is>
          <t>Ripresa notturna con il TMA in asse (D-076, ombra del secondario ~9,5%): città/quartieri 1×1 (4,8 m) con 12 scatti da 20 ms (240 ms, SNR 10,4); paesi 3×3 (14,4 m) con 10 scatti (200 ms, SNR 11,3) come modalità nominale; 2×2 (9,6 m, 18 scatti per SNR 10) non più nominale. Pixel 11 µm invariato</t>
        </is>
      </c>
      <c r="G78" s="47" t="inlineStr">
        <is>
          <t>Più scatti con 2×2 per i paesi (18 scatti = 360 ms, inseguimento con margine ~0,43 s &gt; DR-11); lasciare tutto com'era accettando SNR 9,3–9,5 (DR-09 a ≥ 9)</t>
        </is>
      </c>
      <c r="H78" s="47" t="inlineStr">
        <is>
          <t>Mantiene SNR ≥ 10 senza allungare l'inseguimento oltre DR-11 (max 240 ms + 20% = 0,29 s); 14,4 m bastano per le celle da 150 m della conferma blackout (D-064, ~10 pixel per cella). Il dettaglio via per via del 2×2 (motivo di D-031) non è usato dalla catena A4</t>
        </is>
      </c>
      <c r="I78" s="47" t="inlineStr">
        <is>
          <t>DR-09; durata FMC (diminuisce: nessun impatto su Giuliano); volume dati (scena paesi 0,7 MB invece di 1,6)</t>
        </is>
      </c>
      <c r="J78" s="47" t="inlineStr">
        <is>
          <t>DR-09, DR-11</t>
        </is>
      </c>
      <c r="K78" s="47" t="inlineStr">
        <is>
          <t>R-02</t>
        </is>
      </c>
      <c r="L78" s="47" t="inlineStr">
        <is>
          <t>Approvata</t>
        </is>
      </c>
      <c r="M78" s="47" t="n"/>
      <c r="N78" s="47" t="inlineStr">
        <is>
          <t>Chat del 30/10/2026 (A5.P2)</t>
        </is>
      </c>
      <c r="O78" s="47" t="inlineStr">
        <is>
          <t>Sostituisce D-031. Calcolo in a5_calcoli/p2_ostruzione_snr.py (modello A3, trasmissione relativa 0,905 TBC fino al progetto ottico). Anche il diurno perde ~9,5% di luce: SNR TDI tipico ~73 → ~69, inverno scuro ~29 → ~28 (stima)</t>
        </is>
      </c>
    </row>
    <row r="79">
      <c r="A79" s="47" t="inlineStr">
        <is>
          <t>D-078</t>
        </is>
      </c>
      <c r="B79" s="48" t="n">
        <v>46325</v>
      </c>
      <c r="C79" s="47" t="inlineStr">
        <is>
          <t>A5</t>
        </is>
      </c>
      <c r="D79" s="47" t="inlineStr">
        <is>
          <t>Giuseppe</t>
        </is>
      </c>
      <c r="E79" s="47" t="inlineStr">
        <is>
          <t>Struttura</t>
        </is>
      </c>
      <c r="F79" s="47" t="inlineStr">
        <is>
          <t>Posizione del telescopio sulla faccia a nadir (226 × 226 mm): ingombro ~140 × 140 mm (con struttura) spostato contro un lato; resta libera una striscia di ~66 × 206 mm sul lato opposto per l'antenna TT&amp;C a nadir (D-068) ed eventuali altri sensori</t>
        </is>
      </c>
      <c r="G79" s="47" t="inlineStr">
        <is>
          <t>Al centro (cornice utile ~33 mm, antenna a fatica); in un angolo (due strisce a L da ~66 mm, baricentro spostato ~4–5 mm in diagonale)</t>
        </is>
      </c>
      <c r="H79" s="47" t="inlineStr">
        <is>
          <t>Spazio comodo per l'antenna con spostamento del baricentro piccolo (~3–4 mm per 2–2,5 kg di telescopio su ~30 kg), compensabile nel layout (batterie o altre masse sul lato opposto)</t>
        </is>
      </c>
      <c r="I79" s="47" t="inlineStr">
        <is>
          <t>Layout e baricentro (A5.7, Giuliano: D-047, DR-14, DR-21); antenna a nadir (D-068)</t>
        </is>
      </c>
      <c r="J79" s="47" t="inlineStr">
        <is>
          <t>DR-14, DR-21</t>
        </is>
      </c>
      <c r="K79" s="47" t="inlineStr">
        <is>
          <t>R-39</t>
        </is>
      </c>
      <c r="L79" s="47" t="inlineStr">
        <is>
          <t>Proposta</t>
        </is>
      </c>
      <c r="M79" s="47" t="n"/>
      <c r="N79" s="47" t="inlineStr">
        <is>
          <t>Chat del 30/10/2026 (A5.P2)</t>
        </is>
      </c>
      <c r="O79" s="47" t="inlineStr">
        <is>
          <t>Proposta: tocca layout e bilanciamento di Giuliano. Bordo strutturale ~10 mm per lato (TBC). Antenna lontana dal piano focale e dai cavi dei sensori (EMC da verificare in Fase B)</t>
        </is>
      </c>
    </row>
    <row r="80">
      <c r="A80" s="47" t="inlineStr">
        <is>
          <t>D-079</t>
        </is>
      </c>
      <c r="B80" s="48" t="n">
        <v>46325</v>
      </c>
      <c r="C80" s="47" t="inlineStr">
        <is>
          <t>A5</t>
        </is>
      </c>
      <c r="D80" s="47" t="inlineStr">
        <is>
          <t>Giuseppe</t>
        </is>
      </c>
      <c r="E80" s="47" t="inlineStr">
        <is>
          <t>Payload</t>
        </is>
      </c>
      <c r="F80" s="47" t="inlineStr">
        <is>
          <t>Paraluce di ~10 cm davanti all'apertura (~13 cm): il Sole non illumina direttamente gli specchi se sta a più di ~52° dall'asse ottico. Coperchio dell'apertura richiudibile (motorizzato): chiuso in safe, in spinta e fino al commissioning, aperto per le riprese e su comando di emergenza (D-034, D-074)</t>
        </is>
      </c>
      <c r="G80" s="47" t="inlineStr">
        <is>
          <t>Paraluce 5 cm (esclusione ~69°: d'inverno a 45° fuori nadir il Sole a ~65° entrerebbe); paraluce 15 cm (~41°, 5 cm di lunghezza in meno per il resto del satellite)</t>
        </is>
      </c>
      <c r="H80" s="47" t="inlineStr">
        <is>
          <t>Copre il caso peggiore in ripresa (inverno, zenit solare ~70°, 45° fuori nadir verso il Sole: Sole a ~65° dall'asse) con ~13° di margine; telescopio + paraluce ~30 cm su 45,4</t>
        </is>
      </c>
      <c r="I80" s="47" t="inlineStr">
        <is>
          <t>Valore di DR-37 (modi ADCS di Giuliano con coperchio aperto); lunghezza disponibile per il layout (A5.7); massa del coperchio (A5.P4)</t>
        </is>
      </c>
      <c r="J80" s="47" t="inlineStr">
        <is>
          <t>DR-37</t>
        </is>
      </c>
      <c r="K80" s="47" t="inlineStr">
        <is>
          <t>R-23, R-43</t>
        </is>
      </c>
      <c r="L80" s="47" t="inlineStr">
        <is>
          <t>Proposta</t>
        </is>
      </c>
      <c r="M80" s="47" t="n"/>
      <c r="N80" s="47" t="inlineStr">
        <is>
          <t>Chat del 30/10/2026 (A5.P2)</t>
        </is>
      </c>
      <c r="O80" s="47" t="inlineStr">
        <is>
          <t>Proposta: fissa il valore di DR-37, che vincola i modi d'assetto di Giuliano con il coperchio aperto. Esclusione calcolata come arctan(13 cm / 10 cm), stima di primo ordine; luce diffusa dal bordo della Terra da verificare in Fase B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14,4 m (binning 3×3).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(A3), D-077 (A5)</t>
        </is>
      </c>
      <c r="H25" s="47" t="inlineStr">
        <is>
          <t>Giuseppe</t>
        </is>
      </c>
      <c r="I25" s="47" t="inlineStr">
        <is>
          <t>Modello senza luce diffusa e parassita: riserva 3×3 | 30/10/2026 (D-077): con il TMA in asse (D-076) quartiere 12 scatti (SNR 10,4), paese 3×3 10 scatti (SNR 11,3).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 | 30/10/2026 (D-077): raccolta 240 ms città, 200 ms paesi (+20% = 0,29 s): il valore ≥ 0,36 s resta valido con più margine.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gli scatti notturni e i passaggi diurni in tempo reale.</t>
        </is>
      </c>
      <c r="D29" s="47" t="inlineStr">
        <is>
          <t>~470 Mbit/s di giorno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Numero di scene per notte TBD</t>
        </is>
      </c>
      <c r="E52" s="47" t="inlineStr">
        <is>
          <t>Analisi operativa</t>
        </is>
      </c>
      <c r="F52" s="47" t="inlineStr">
        <is>
          <t>TBD</t>
        </is>
      </c>
      <c r="G52" s="47" t="inlineStr">
        <is>
          <t>D-061, D-065 (A4)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Con coperchio aperto Sole ≥ 52° dall'asse ottico (paraluce ~10 cm); in ripresa diurna il caso peggiore è ~65° (TBC)</t>
        </is>
      </c>
      <c r="E53" s="47" t="inlineStr">
        <is>
          <t>Analisi (geometria dei modi), poi simulazione GNC</t>
        </is>
      </c>
      <c r="F53" s="47" t="inlineStr">
        <is>
          <t>TBC</t>
        </is>
      </c>
      <c r="G53" s="47" t="inlineStr">
        <is>
          <t>D-058, D-034 (A5), D-079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 | 30/10/2026 (A5.P2): un TMA fuori asse da 12 cm scalato da EarthNext occuperebbe ~12–14U: scelto TMA in asse (D-076, ~14 × 14 × 20 cm, ~4U).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n"/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n"/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In mitigazione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 | 30/10/2026 (D-078): telescopio spostato su un lato, striscia libera ~66 × 206 mm per l'antenna a nadir.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Media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</t>
        </is>
      </c>
    </row>
    <row r="43">
      <c r="A43" s="47" t="inlineStr">
        <is>
          <t>R-42</t>
        </is>
      </c>
      <c r="B43" s="47" t="inlineStr">
        <is>
          <t>Il TMA in asse (D-076) non riesce a dare un'immagine nitida su tutto il campo di 3,9° richiesto dai due sensori affiancati (D-027)</t>
        </is>
      </c>
      <c r="C43" s="47" t="inlineStr">
        <is>
          <t>Uno dei due sensori ai bordi del campo vede un'immagine sfocata</t>
        </is>
      </c>
      <c r="D43" s="47" t="inlineStr">
        <is>
          <t>Media</t>
        </is>
      </c>
      <c r="E43" s="47" t="inlineStr">
        <is>
          <t>Alta</t>
        </is>
      </c>
      <c r="F43" s="50">
        <f>IF(OR(D43="",E43=""),"",MATCH(D43,{"Bassa","Media","Alta"},0)*MATCH(E43,{"Bassa","Media","Alta"},0))</f>
        <v/>
      </c>
      <c r="G43" s="47" t="inlineStr">
        <is>
          <t>Verifica con progettista ottico in Fase B; riserve: sensori più vicini al centro, campo ridotto o sensore notturno più piccolo</t>
        </is>
      </c>
      <c r="H43" s="47" t="inlineStr">
        <is>
          <t>Fase B</t>
        </is>
      </c>
      <c r="I43" s="47" t="n"/>
      <c r="J43" s="47" t="inlineStr">
        <is>
          <t>Giuseppe</t>
        </is>
      </c>
      <c r="K43" s="47" t="inlineStr">
        <is>
          <t>Aperto</t>
        </is>
      </c>
      <c r="L43" s="47" t="inlineStr">
        <is>
          <t>A5</t>
        </is>
      </c>
      <c r="M43" s="47" t="inlineStr">
        <is>
          <t>Nato con D-076 (30/10/2026)</t>
        </is>
      </c>
    </row>
    <row r="44">
      <c r="A44" s="47" t="inlineStr">
        <is>
          <t>R-43</t>
        </is>
      </c>
      <c r="B44" s="47" t="inlineStr">
        <is>
          <t>Il meccanismo del coperchio richiudibile si blocca</t>
        </is>
      </c>
      <c r="C44" s="47" t="inlineStr">
        <is>
          <t>Bloccato chiuso: niente riprese. Bloccato aperto: Sole e iodio sugli specchi (R-23), riprese degradate</t>
        </is>
      </c>
      <c r="D44" s="47" t="inlineStr">
        <is>
          <t>Bassa</t>
        </is>
      </c>
      <c r="E44" s="47" t="inlineStr">
        <is>
          <t>Alta</t>
        </is>
      </c>
      <c r="F44" s="50">
        <f>IF(OR(D44="",E44=""),"",MATCH(D44,{"Bassa","Media","Alta"},0)*MATCH(E44,{"Bassa","Media","Alta"},0))</f>
        <v/>
      </c>
      <c r="G44" s="47" t="inlineStr">
        <is>
          <t>Meccanismo con eredità di volo e prove di vita (cicli) in Fase B; posizione di sicurezza aperta con assetto che tiene il Sole fuori dai 52°</t>
        </is>
      </c>
      <c r="H44" s="47" t="inlineStr">
        <is>
          <t>Fase B</t>
        </is>
      </c>
      <c r="I44" s="47" t="n"/>
      <c r="J44" s="47" t="inlineStr">
        <is>
          <t>Giuseppe</t>
        </is>
      </c>
      <c r="K44" s="47" t="inlineStr">
        <is>
          <t>Aperto</t>
        </is>
      </c>
      <c r="L44" s="47" t="inlineStr">
        <is>
          <t>A5</t>
        </is>
      </c>
      <c r="M44" s="47" t="inlineStr">
        <is>
          <t>Nato con D-079 (30/10/2026)</t>
        </is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2026-10-30T10:43:16Z</dcterms:modified>
  <cp:revision>0</cp:revision>
</cp:coreProperties>
</file>