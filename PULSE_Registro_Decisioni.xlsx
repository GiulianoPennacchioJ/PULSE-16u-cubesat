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 | 30/10/2026 (D-108): con 6 pannelli la spinta sostenibile è ~5,5 h/giorno (non ~12): discesa più lunga, da rifare con GMAT in A6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 | 30/10/2026 (D-110, Proposta): termico di piattaforma a Giuseppe (modello termico unico del satellite) | 30/10/2026: D-110 approvata (termico di piattaforma a Giuseppe)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 | 30/10/2026 (D-106): i pannelli non sono perpendicolari all'asse ottico ma con normale opposta alla direzione di vista (ali a zenit): in safe Sole a ~180° dall'asse, condizione ancora più sicura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 | 30/10/2026 (D-106, Proposta): con il rollio fisso di 31–52° verso il Sole fuori dalle riprese la faccia dei radiatori guarda di più la Terra: vista della Terra da rifare (Giuseppe) | 30/10/2026 (D-106 Approvata, D-107): con il rollio fisso la faccia dei radiatori vede meno Terra (0,02–0,10) e il Sole per ~30 min/orbita a 70–78°: aree invariate; da spenti servono riscaldatori di sopravvivenza (D-107)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 | 30/10/2026 (D-107, Proposta): +1 W di riscaldatori di sopravvivenza per sensore notturno e scheda fuori dalle riprese: P-23 4/4/3/3/2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  <row r="107" s="26">
      <c r="A107" s="47" t="inlineStr">
        <is>
          <t>D-106</t>
        </is>
      </c>
      <c r="B107" s="48" t="n">
        <v>46325</v>
      </c>
      <c r="C107" s="47" t="inlineStr">
        <is>
          <t>A5</t>
        </is>
      </c>
      <c r="D107" s="47" t="inlineStr">
        <is>
          <t>Giuliano</t>
        </is>
      </c>
      <c r="E107" s="47" t="inlineStr">
        <is>
          <t>Potenza</t>
        </is>
      </c>
      <c r="F107" s="47" t="inlineStr">
        <is>
          <t>Configurazione dei pannelli (P3): ali dispiegabili fisse con la faccia attiva verso lo zenit, nel piano che contiene la velocità (di taglio rispetto al flusso), più la faccia a zenit del corpo dove libera; in attesa e in spinta rollio fisso di ~31–52° (TBC, valore ottimo che varia con le stagioni) attorno alla velocità verso il lato del Sole; per le riprese il satellite torna a nadir con gli slew già previsti. Fattore k caso peggiore 0,58: ~0,44 m² di pannello con Sole medio, ~0,56 m² con Sole alto (4,2–5,5 pannelli da 226 × 454 mm, a 270 W/m² fine vita, stima)</t>
        </is>
      </c>
      <c r="G107" s="47" t="inlineStr">
        <is>
          <t>P2: ali fisse a zenit senza rollio (k 0,44, 0,57–0,73 m²); P4: ala con motore di rotazione SADA (k 0,85, 0,29–0,38 m², ma ~70% dell'area dell'ala esposta alla velocità in luce, drag e ΔV ~3 volte); solo pannelli sul corpo (non bastano)</t>
        </is>
      </c>
      <c r="H107" s="47" t="inlineStr">
        <is>
          <t>Il rollio attorno alla velocità non cambia né l'area frontale né la direzione di spinta: ~25% di pannello in meno rispetto a P2 senza costi di drag; stessa soluzione di EarthNext (roll bias durante la spinta)</t>
        </is>
      </c>
      <c r="I107" s="47" t="inlineStr">
        <is>
          <t>Dimensionamento pannelli e batteria (A5.6.6), layout e inerzie con le ali (A5.7, D-043), ADCS: coppia di gradiente di gravità costante ~1,8·10⁻⁶ N·m a 40° (~0,010 N·m·s per orbita, scaricata dai magnetorquer; riserva DR-22 0,037), radiatori del payload (D-095: con il rollio la faccia vede di più la Terra), safe (DR-29, DR-37)</t>
        </is>
      </c>
      <c r="J107" s="47" t="inlineStr">
        <is>
          <t>DR-61, DR-29, DR-37, DR-22</t>
        </is>
      </c>
      <c r="K107" s="47" t="inlineStr">
        <is>
          <t>R-07, R-43</t>
        </is>
      </c>
      <c r="L107" s="47" t="inlineStr">
        <is>
          <t>Approvata</t>
        </is>
      </c>
      <c r="M107" s="47" t="n"/>
      <c r="N107" s="47" t="inlineStr">
        <is>
          <t>Chat del 30/10/2026 (A5.6.5); PULSE_EPS/A5.6/pannelli_config.py</t>
        </is>
      </c>
      <c r="O107" s="47" t="inlineStr">
        <is>
          <t>Proposta: cambia l'ipotesi di vista della Terra dei radiatori di Giuseppe (31% nel suo calcolo, D-095): da rifare con il rollio di 31–52°. Sole sui radiatori: mai in assetto nominale; con rollio di 45° verso il lato opposto al Sole a 64–77° dalla normale, solo durante le riprese (≤ ~8 min per passaggio diurno); in safe ≥ 75°. Safe: ali a zenit verso il Sole, telescopio a ~180° dal Sole (oltre i 52° del paraluce anche con coperchio bloccato aperto). Beta 19–32° (ora del nodo GMAT) | 30/10/2026 Giuseppe: approvata con D-107. Verifica radiatori (a5_calcoli/p7_radiatori_rollio.py, con le funzioni di PULSE_EPS/A5.6): il rollio verso il Sole inclina la faccia dei radiatori (-Y) verso lo ZENIT, non verso la Terra: vista della Terra 0,02–0,10 invece di 0,31; Sole sul radiatore ~28–31 min per orbita a 70–78° dalla normale (picco ~1 W); calore medio assorbito 26–35 W/m² invece di 70. Aree di D-095 invariate. Safe ok anche con coperchio bloccato aperto</t>
        </is>
      </c>
    </row>
    <row r="108" s="26">
      <c r="A108" s="47" t="inlineStr">
        <is>
          <t>D-107</t>
        </is>
      </c>
      <c r="B108" s="48" t="n">
        <v>46325</v>
      </c>
      <c r="C108" s="47" t="inlineStr">
        <is>
          <t>A5</t>
        </is>
      </c>
      <c r="D108" s="47" t="inlineStr">
        <is>
          <t>Giuseppe</t>
        </is>
      </c>
      <c r="E108" s="47" t="inlineStr">
        <is>
          <t>Termico</t>
        </is>
      </c>
      <c r="F108" s="47" t="inlineStr">
        <is>
          <t>Riscaldatori di sopravvivenza per il sensore notturno e la scheda payload quando sono spenti: ~0,6 W sul sensore e ~0,4 W sulla scheda (~1 W in tutto, TBC), con termostato, per non scendere sotto −30 °C (TBC, da confermare con i limiti dei datasheet). P-23 diventa 4 / 4 / 3 / 3 / 2 W (ripresa diurna / notturna / spinta / scarico / riposo-safe)</t>
        </is>
      </c>
      <c r="G108" s="47" t="inlineStr">
        <is>
          <t>Nessun riscaldatore (da spenti ~−33 °C a nadir e ~−43 °C con il rollio di D-106: sotto il minimo tipico dell'elettronica); interruttore termico o radiatore con collegamento variabile (toglie il consumo, ma è un componente in più: da valutare in Fase B)</t>
        </is>
      </c>
      <c r="H108" s="47" t="inlineStr">
        <is>
          <t>I radiatori di D-095 restano collegati anche a sensore e scheda spenti e li raffreddano. Stima con perdita verso l'interno di 0,017 W/K (interno 20 °C): ~1 W basta per −30 °C nel caso freddo con il rollio. Nelle riprese sensore e scheda sono accesi e non serve</t>
        </is>
      </c>
      <c r="I108" s="47" t="inlineStr">
        <is>
          <t>Bilancio di potenza P-23 (Giuliano: +1 W in spinta, scarico e riposo/safe), termico del payload (D-095, D-100), modello termico di Fase B</t>
        </is>
      </c>
      <c r="J108" s="47" t="inlineStr">
        <is>
          <t>DR-55, DR-57</t>
        </is>
      </c>
      <c r="K108" s="47" t="inlineStr">
        <is>
          <t>R-55, R-51</t>
        </is>
      </c>
      <c r="L108" s="47" t="inlineStr">
        <is>
          <t>Approvata</t>
        </is>
      </c>
      <c r="M108" s="47" t="n"/>
      <c r="N108" s="47" t="inlineStr">
        <is>
          <t>Chat del 30/10/2026 (A5.P7 bis, risposta a D-106)</t>
        </is>
      </c>
      <c r="O108" s="47" t="inlineStr">
        <is>
          <t>Proposta: cambia P-23 nel bilancio di Giuliano. Calcolo in a5_calcoli/p7_radiatori_rollio.py. In Fase B si può sostituire con un interruttore termico | 30/10/2026 Giuliano: approvata. P-23 a 4/4/3/3/2 W: +1 W fisso fuori dalle riprese (~+29 Wh/giorno con i margini, ~4% del giorno di routine); effetto sulla spinta sostenibile con 6 pannelli (D-108) da verificare in A5.6.7 | 30/10/2026 Giuliano: approvata. Effetto sul bilancio (con margini): riposo da 18,9 a 20,3 W, giorno di routine da 775 a 809 Wh, Sole alto da 1016 a 1050 Wh; 6 pannelli reggono 4,9 h/giorno di spinta (prima 5,5) contro 4,2 necessarie; batteria 4S3P al 21% a fine vita, 31% con una stringa guasta</t>
        </is>
      </c>
    </row>
    <row r="109" s="26">
      <c r="A109" s="47" t="inlineStr">
        <is>
          <t>D-108</t>
        </is>
      </c>
      <c r="B109" s="48" t="n">
        <v>46325</v>
      </c>
      <c r="C109" s="47" t="inlineStr">
        <is>
          <t>A5</t>
        </is>
      </c>
      <c r="D109" s="47" t="inlineStr">
        <is>
          <t>Giuliano</t>
        </is>
      </c>
      <c r="E109" s="47" t="inlineStr">
        <is>
          <t>Potenza</t>
        </is>
      </c>
      <c r="F109" s="47" t="inlineStr">
        <is>
          <t>Pannelli dimensionati sul Sole medio (A, come D-020 e D-033): 6 ali da 226 × 454 mm con 9 celle a tripla giunzione ciascuna (classe Azur Space 3G30-Advanced), 21,6 W per pannello a Sole perpendicolare a fine vita (5·10¹⁴ e/cm², 70 °C, perdite 5%), 74,5 W medi in luce con la configurazione D-106 (k 0,575). Regge 5,5 h/giorno di spinta contro 4,2 h necessarie (+31%). Valore provvisorio, da rivedere con la data di lancio insieme a spinta e propellente</t>
        </is>
      </c>
      <c r="G109" s="47" t="inlineStr">
        <is>
          <t>B: 8 pannelli per il Sole alto (10 h/giorno di spinta, +2 pannelli da stivare); C: 7 pannelli (Sole alto senza margine, 7,7 contro 7,8 h)</t>
        </is>
      </c>
      <c r="H109" s="47" t="inlineStr">
        <is>
          <t>Con Sole alto il primo limite è il propellente (D-034, ~22 mesi): dimensionare solo la potenza sul Sole alto non salva la missione. Tutti i budget sullo stesso caso; con un lancio dal 2027 il ciclo solare scende</t>
        </is>
      </c>
      <c r="I109" s="47" t="inlineStr">
        <is>
          <t>Massa e stivaggio delle ali (A5.7: verificare anche il posto per 8 come riserva), batteria (D-109), bilancio orbita per orbita (A5.6.7), discesa iniziale (D-021: 5,5 h/giorno di spinta invece di ~12, discesa più lunga, da rifare in A6), operazioni con Sole alto</t>
        </is>
      </c>
      <c r="J109" s="47" t="inlineStr">
        <is>
          <t>DR-62</t>
        </is>
      </c>
      <c r="K109" s="47" t="inlineStr">
        <is>
          <t>R-56, R-07</t>
        </is>
      </c>
      <c r="L109" s="47" t="inlineStr">
        <is>
          <t>Provvisoria</t>
        </is>
      </c>
      <c r="M109" s="47" t="n"/>
      <c r="N109" s="47" t="inlineStr">
        <is>
          <t>Chat del 30/10/2026 (A5.6.6); PULSE_EPS/A5.6/dimensionamento_pannelli.py</t>
        </is>
      </c>
      <c r="O109" s="47" t="inlineStr">
        <is>
          <t>Datasheet Azur 3G30-Advanced (bdb_00010894-02-00): 3,08 W BOL (29,0%), 2,85 W a 5E14, dVmp/dT −7,1 mV/°C; CIC 13,1 g (118 g di celle per pannello). Impaccamento 0,68 (9 celle su 226 × 454 mm). 5E14 prudente per 2 anni a 302 km (fluenza vera in Fase B). Conti con P-23 di D-100 (2 W a riposo): D-107 di Giuseppe (+1 W, approvata) da includere in A5.6.7. Numerata D-108 perché D-107 era già usata da Giuseppe | 30/10/2026 (D-107 approvata, +1 W): spinta sostenibile con 6 pannelli 4,9 h/giorno (+17% su 4,2); Sole medio richiede 5,70 pannelli, Sole alto 7,28</t>
        </is>
      </c>
    </row>
    <row r="110" s="26">
      <c r="A110" s="47" t="inlineStr">
        <is>
          <t>D-109</t>
        </is>
      </c>
      <c r="B110" s="48" t="n">
        <v>46325</v>
      </c>
      <c r="C110" s="47" t="inlineStr">
        <is>
          <t>A5</t>
        </is>
      </c>
      <c r="D110" s="47" t="inlineStr">
        <is>
          <t>Giuliano</t>
        </is>
      </c>
      <c r="E110" s="47" t="inlineStr">
        <is>
          <t>Potenza</t>
        </is>
      </c>
      <c r="F110" s="47" t="inlineStr">
        <is>
          <t>Batteria (B): Li-ion 4S3P, 12 celle 18650 da 2,6 Ah (classe GomSpace NanoPower), 112 Wh nominali, bus non regolato 12–16,8 V come EarthNext. Profondità di scarica nel caso peggiore (ripresa notturna e contatto al buio, 18,0 Wh dalla batteria) 20% a fine vita (capacità all'80%), 30% con una stringa guasta. Autonomia in detumbling con ali chiuse ~5,3 h. La spinta si programma nella parte centrale della luce, dove le ali producono di più, così la batteria non scarica durante la spinta (verifica in A5.6.7)</t>
        </is>
      </c>
      <c r="G110" s="47" t="inlineStr">
        <is>
          <t>A: 4S2P (75 Wh, 30% a fine vita ma 60% con una stringa guasta, 3,5 h di autonomia); C: 4S4P (150 Wh, 15%/20%, 4 celle in più senza bisogno)</t>
        </is>
      </c>
      <c r="H110" s="47" t="inlineStr">
        <is>
          <t>Unica opzione che resta nella fascia di scarica usata in LEO (20–40%) anche con una stringa guasta (criterio di EarthNext); ~11.600 cicli in 2 anni, oltre i 10.000 provati dalla NASA a 20–40%</t>
        </is>
      </c>
      <c r="I110" s="47" t="inlineStr">
        <is>
          <t>Massa e volume della batteria (A5.7), termico di piattaforma (celle tiepide, ~10–25 °C indicativo TBC: temperatura interna proposta ~15–20 °C, compatibile con il telescopio, D-100), PCDU e bus (REGULUS a 12 V d'ingresso: compatibilità con 12–16,8 V da verificare con T4i), riscaldatori della batteria (P-24, TBD)</t>
        </is>
      </c>
      <c r="J110" s="47" t="inlineStr">
        <is>
          <t>DR-63</t>
        </is>
      </c>
      <c r="K110" s="47" t="inlineStr">
        <is>
          <t>R-07</t>
        </is>
      </c>
      <c r="L110" s="47" t="inlineStr">
        <is>
          <t>Approvata</t>
        </is>
      </c>
      <c r="M110" s="47" t="n"/>
      <c r="N110" s="47" t="inlineStr">
        <is>
          <t>Chat del 30/10/2026 (A5.6.6); PULSE_EPS/A5.6/dimensionamento_batteria.py</t>
        </is>
      </c>
      <c r="O110" s="47" t="inlineStr">
        <is>
          <t>Fonti: NASA, An Update on the Lithium-Ion Cell LEO Verification Test Program (20/30/40% DoD, &gt; 10.000 cicli); RF Essentials (LEO 20–40% DoD); AAU (GomSpace 18650 2,6 Ah). Rendimento batteria→carichi 0,90 e perdita di capacità 20% a fine vita: stime TBC. Termico di piattaforma ancora senza responsabile (D-038) | 30/10/2026 (D-107 approvata, +1 W): caso peggiore al buio 16,9 Wh ai carichi (18,8 dalla batteria): scarica 21% a fine vita, 31% con una stringa guasta (ancora nella fascia LEO 20–40%); autonomia in detumbling ~4,8 h | 30/10/2026 (A5.6.7): simulazione conferma 20,4% e 30,7%; DR-63 riscritto con D-111</t>
        </is>
      </c>
    </row>
    <row r="111" s="26">
      <c r="A111" s="47" t="inlineStr">
        <is>
          <t>D-110</t>
        </is>
      </c>
      <c r="B111" s="48" t="n">
        <v>46325</v>
      </c>
      <c r="C111" s="47" t="inlineStr">
        <is>
          <t>A5</t>
        </is>
      </c>
      <c r="D111" s="47" t="inlineStr">
        <is>
          <t>Giuseppe</t>
        </is>
      </c>
      <c r="E111" s="47" t="inlineStr">
        <is>
          <t>Termico</t>
        </is>
      </c>
      <c r="F111" s="47" t="inlineStr">
        <is>
          <t>Responsabile del termico di piattaforma (chiude D-038 per la voce termico): Giuseppe segue il termico di tutto il satellite con un modello unico (payload + piattaforma). Giuliano fornisce per i suoi componenti (batteria, motore REGULUS, ruote, computer di bordo, EPS, radio) potenze dissipate per modo, posizioni nel layout e limiti di temperatura. Temperatura interna di progetto ~15–20 °C (TBC, proposta di Giuliano, coerente con la regolazione del telescopio di D-100)</t>
        </is>
      </c>
      <c r="G111" s="47" t="inlineStr">
        <is>
          <t>B: Giuliano responsabile del termico di piattaforma e Giuseppe del solo payload, con interfaccia la temperatura interna (due modelli per un sistema unico; carico di lavoro di Giuliano già alto); C: rimandare alla Fase B (resta un responsabile mancante alla PRR)</t>
        </is>
      </c>
      <c r="H111" s="47" t="inlineStr">
        <is>
          <t>Il termico è un sistema unico: la parte più sensibile è il telescopio (fuoco entro ±11 K, DR-57) e il calore del motore e della batteria lo influenza (D-099). Giuseppe ha già metodo e script (radiatori, riscaldatori, a5_calcoli/p7_*.py) e la parte payload di A5 è chiusa</t>
        </is>
      </c>
      <c r="I111" s="47" t="inlineStr">
        <is>
          <t>Budget M-24 e P-24 (responsabile Giuseppe), riscaldatori della batteria (D-104, valore dal modello termico), layout A5.7 (posizioni e collegamenti termici), A6 (rischi termici), Fase B (modello termico completo)</t>
        </is>
      </c>
      <c r="J111" s="47" t="inlineStr">
        <is>
          <t>DR-57, DR-64</t>
        </is>
      </c>
      <c r="K111" s="47" t="inlineStr">
        <is>
          <t>R-24, R-55</t>
        </is>
      </c>
      <c r="L111" s="47" t="inlineStr">
        <is>
          <t>Approvata</t>
        </is>
      </c>
      <c r="M111" s="47" t="n"/>
      <c r="N111" s="47" t="inlineStr">
        <is>
          <t>Chat del 30/10/2026 (dopo A5.P8)</t>
        </is>
      </c>
      <c r="O111" s="47" t="inlineStr">
        <is>
          <t>Proposta: cambia le responsabilità di D-028/D-038 e riguarda i componenti di Giuliano. Restano aperti in D-038: struttura e meccanismi, computer di bordo, cablaggi | 30/10/2026 Giuliano: approvata. Dati di Giuliano per il modello termico (potenza dissipata per modo e limiti di temperatura) nel report A5.6 (A5.6.8); posizioni in A5.7</t>
        </is>
      </c>
    </row>
    <row r="112" s="26">
      <c r="A112" s="47" t="inlineStr">
        <is>
          <t>D-111</t>
        </is>
      </c>
      <c r="B112" s="48" t="n">
        <v>46325</v>
      </c>
      <c r="C112" s="47" t="inlineStr">
        <is>
          <t>A5</t>
        </is>
      </c>
      <c r="D112" s="47" t="inlineStr">
        <is>
          <t>Giuliano</t>
        </is>
      </c>
      <c r="E112" s="47" t="inlineStr">
        <is>
          <t>Potenza</t>
        </is>
      </c>
      <c r="F112" s="47" t="inlineStr">
        <is>
          <t>Valore di DR-63 riscritto (a): profondità di scarica della batteria ≤ 25% a fine vita e ≤ 35% con una stringa guasta. La simulazione dello stato di carica (A5.6.7, giorno peggiore, fine vita, carichi con margini) dà 20,4% e 30,7%; batteria 4S3P invariata (D-109)</t>
        </is>
      </c>
      <c r="G112" s="47" t="inlineStr">
        <is>
          <t>b: batteria 4S4P (21% con una stringa guasta, +4 celle per un caso di guasto); c: tenere 30% e spegnere carichi in caso di guasto (regola in più)</t>
        </is>
      </c>
      <c r="H112" s="47" t="inlineStr">
        <is>
          <t>Il 30% era un valore tondo scelto da noi (TBC), non un limite fisico; 35% resta nella fascia LEO 20–40% e nelle prove NASA (fino al 40%, oltre 10.000 cicli)</t>
        </is>
      </c>
      <c r="I112" s="47" t="inlineStr">
        <is>
          <t>DR-63, invecchiamento della batteria in caso di guasto (un po' più rapido), prova di cicli in Fase C</t>
        </is>
      </c>
      <c r="J112" s="47" t="inlineStr">
        <is>
          <t>DR-63</t>
        </is>
      </c>
      <c r="K112" s="47" t="inlineStr">
        <is>
          <t>R-07</t>
        </is>
      </c>
      <c r="L112" s="47" t="inlineStr">
        <is>
          <t>Approvata</t>
        </is>
      </c>
      <c r="M112" s="47" t="n"/>
      <c r="N112" s="47" t="inlineStr">
        <is>
          <t>Chat del 30/10/2026 (A5.6.7); PULSE_EPS/A5.6/simulazione_soc.py</t>
        </is>
      </c>
      <c r="O112" s="47" t="inlineStr">
        <is>
          <t>Simulazione: 3 giorni, passo 20 s, giorno 150 (fine maggio 2026, rollio 32°, k 0,573), 6 ali a fine vita, batteria all'80% (89,8 Wh; 59,9 Wh con 2 stringhe). Routine: SoC minimo 79,6%, avanzo 136 Wh/giorno; emergenza 79,6%; stringa guasta 69,3%; safe 84,0%. Numerata D-111 perché D-110 era già usata da Giuseppe</t>
        </is>
      </c>
    </row>
    <row r="113" s="26">
      <c r="A113" s="47" t="inlineStr">
        <is>
          <t>D-112</t>
        </is>
      </c>
      <c r="B113" s="48" t="n">
        <v>46325</v>
      </c>
      <c r="C113" s="47" t="inlineStr">
        <is>
          <t>A5</t>
        </is>
      </c>
      <c r="D113" s="47" t="inlineStr">
        <is>
          <t>Giuliano</t>
        </is>
      </c>
      <c r="E113" s="47" t="inlineStr">
        <is>
          <t>Potenza</t>
        </is>
      </c>
      <c r="F113" s="47" t="inlineStr">
        <is>
          <t>Regola di bordo per proteggere la batteria (A): il motore parte solo se lo stato di carica è ≥ 90% e si spegne se scende sotto l'80%; la spinta programmata che non parte si recupera nelle orbite successive. Gestione a più livelli (sotto il 70% stop alle riprese, sotto il 50% safe, valori TBD) come requisito per la Fase C (C)</t>
        </is>
      </c>
      <c r="G113" s="47" t="inlineStr">
        <is>
          <t>B: nessuna regola automatica, pianificazione solo da terra (un errore può svuotare la batteria); C subito: regola completa a più livelli (rimandata alla Fase C, FDIR)</t>
        </is>
      </c>
      <c r="H113" s="47" t="inlineStr">
        <is>
          <t>Con Sole alto e 7,8 h di spinta programmate la batteria si svuota in meno di un giorno (deficit ~109 Wh/giorno); con la regola la spinta si riduce da sola a ~5,6 h/giorno, SoC minimo 73%. In routine la regola non toglie spinta (4,2 h, SoC minimo 79,6%: le scariche sono al buio, la spinta a metà luce a batteria quasi piena)</t>
        </is>
      </c>
      <c r="I113" s="47" t="inlineStr">
        <is>
          <t>Software di bordo (gestione motore e batteria), FDIR (Fase C), operazioni con Sole alto (R-56: quota mantenuta solo in parte), piano di spinta</t>
        </is>
      </c>
      <c r="J113" s="47" t="inlineStr">
        <is>
          <t>DR-65, DR-66</t>
        </is>
      </c>
      <c r="K113" s="47" t="inlineStr">
        <is>
          <t>R-56, R-07</t>
        </is>
      </c>
      <c r="L113" s="47" t="inlineStr">
        <is>
          <t>Approvata</t>
        </is>
      </c>
      <c r="M113" s="47" t="n"/>
      <c r="N113" s="47" t="inlineStr">
        <is>
          <t>Chat del 30/10/2026 (A5.6.7); PULSE_EPS/A5.6/simulazione_soc.py</t>
        </is>
      </c>
      <c r="O113" s="47" t="inlineStr">
        <is>
          <t>Valori 90/80% sopra il minimo della routine (79,6% al buio, quando il motore è comunque spento per D-105)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 | 30/10/2026 (D-106): rollio fisso fuori dalle riprese → gradiente di gravità ~0,010 N·m·s per orbita (I 1,14/0,26, 40°), da scaricare con i magnetorquer; inerzie con le ali in A5.7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 | 30/10/2026 (D-106): in safe la faccia a zenit (ali) punta il Sole entro 15°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 | 30/10/2026 (D-106): con ali a zenit, in safe il telescopio guarda a ~180° dal Sole: DR-37 rispettato anche con coperchio bloccato aperto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 | 30/10/2026 (D-106/D-107): in ripresa notturna con rollio di 45° verso il lato del Sole il radiatore vede la Terra al 69%: il sensore sale di ~3 K in 10 min, partendo freddo dall'attesa; requisito rispettato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</t>
        </is>
      </c>
    </row>
    <row r="77" s="26">
      <c r="A77" s="47" t="inlineStr">
        <is>
          <t>DR-61</t>
        </is>
      </c>
      <c r="B77" s="47" t="inlineStr">
        <is>
          <t>Derivato</t>
        </is>
      </c>
      <c r="C77" s="47" t="inlineStr">
        <is>
          <t>Fuori dalle riprese (attesa e spinta) l'ADCS deve tenere un rollio fisso attorno alla velocità verso il lato del Sole, aggiornato con le stagioni, e scaricare con i magnetorquer il momento del gradiente di gravità che ne deriva.</t>
        </is>
      </c>
      <c r="D77" s="47" t="inlineStr">
        <is>
          <t>Rollio 31–52° (TBC, ottimo stagionale); coppia ~1,8·10⁻⁶ N·m a 40°</t>
        </is>
      </c>
      <c r="E77" s="47" t="inlineStr">
        <is>
          <t>Analisi (A5.6.5), poi simulazione ADCS 3-assi (Fase B)</t>
        </is>
      </c>
      <c r="F77" s="47" t="inlineStr">
        <is>
          <t>TBC</t>
        </is>
      </c>
      <c r="G77" s="47" t="inlineStr">
        <is>
          <t>D-106 (A5.6.5)</t>
        </is>
      </c>
      <c r="H77" s="47" t="inlineStr">
        <is>
          <t>Giuliano</t>
        </is>
      </c>
      <c r="I77" s="47" t="inlineStr">
        <is>
          <t>Errore di rollio ammesso da fissare in A5.6.6 (perdita di potenza ~1 − cos dell'errore)</t>
        </is>
      </c>
    </row>
    <row r="78" s="26">
      <c r="A78" s="47" t="inlineStr">
        <is>
          <t>DR-62</t>
        </is>
      </c>
      <c r="B78" s="47" t="inlineStr">
        <is>
          <t>Derivato</t>
        </is>
      </c>
      <c r="C78" s="47" t="inlineStr">
        <is>
          <t>L'insieme dei pannelli deve fornire a fine vita, alla temperatura di lavoro, la potenza necessaria per il giorno di routine con Sole medio.</t>
        </is>
      </c>
      <c r="D78" s="47" t="inlineStr">
        <is>
          <t>≥ 6 × 21,6 W = 130 W a Sole perpendicolare (fine vita, 70 °C); ≥ 74,5 W medi in luce in assetto D-106 (TBC)</t>
        </is>
      </c>
      <c r="E78" s="47" t="inlineStr">
        <is>
          <t>Analisi, poi misura dei pannelli (Fase C)</t>
        </is>
      </c>
      <c r="F78" s="47" t="inlineStr">
        <is>
          <t>TBC</t>
        </is>
      </c>
      <c r="G78" s="47" t="inlineStr">
        <is>
          <t>D-108 (A5.6.6)</t>
        </is>
      </c>
      <c r="H78" s="47" t="inlineStr">
        <is>
          <t>Giuliano</t>
        </is>
      </c>
      <c r="I78" s="47" t="inlineStr">
        <is>
          <t>Da rivedere con la data di lancio (Sole alto: 8 pannelli) | 30/10/2026 (D-107): con +1 W di riscaldatori la spinta sostenibile scende a 4,9 h/giorno, sopra le 4,2 necessarie</t>
        </is>
      </c>
    </row>
    <row r="79" s="26">
      <c r="A79" s="47" t="inlineStr">
        <is>
          <t>DR-63</t>
        </is>
      </c>
      <c r="B79" s="47" t="inlineStr">
        <is>
          <t>Derivato</t>
        </is>
      </c>
      <c r="C79" s="47" t="inlineStr">
        <is>
          <t>La batteria deve coprire il caso peggiore al buio senza superare la profondità di scarica ammessa, anche con una stringa guasta, per tutta la vita.</t>
        </is>
      </c>
      <c r="D79" s="47" t="inlineStr">
        <is>
          <t>≥ 112 Wh nominali (4S3P); scarica ≤ 25% a fine vita, ≤ 35% con una stringa guasta</t>
        </is>
      </c>
      <c r="E79" s="47" t="inlineStr">
        <is>
          <t>Analisi (A5.6.6–A5.6.7), poi prova di cicli (Fase C)</t>
        </is>
      </c>
      <c r="F79" s="47" t="inlineStr">
        <is>
          <t>TBC</t>
        </is>
      </c>
      <c r="G79" s="47" t="inlineStr">
        <is>
          <t>D-109, D-111 (A5.6.6–A5.6.7)</t>
        </is>
      </c>
      <c r="H79" s="47" t="inlineStr">
        <is>
          <t>Giuliano</t>
        </is>
      </c>
      <c r="I79" s="47" t="inlineStr">
        <is>
          <t>Caso peggiore: orbita con ripresa notturna e contatto al buio, 16,2 Wh ai carichi con margini (A5.6.3) | 30/10/2026 (D-107): 21% a fine vita e 31% con una stringa guasta, appena sopra il 30% di questo requisito: valore da riconfermare con la simulazione di A5.6.7 (Giuliano) | 30/10/2026 (D-111): valore riscritto da ≤ 20%/≤ 30% a ≤ 25%/≤ 35%; simulazione A5.6.7: 20,4% e 30,7%</t>
        </is>
      </c>
    </row>
    <row r="80" s="26">
      <c r="A80" s="47" t="inlineStr">
        <is>
          <t>DR-64</t>
        </is>
      </c>
      <c r="B80" s="47" t="inlineStr">
        <is>
          <t>Derivato</t>
        </is>
      </c>
      <c r="C80" s="47" t="inlineStr">
        <is>
          <t>La piattaforma deve mantenere l'interno del satellite in un intervallo di temperatura compatibile con batteria e telescopio in tutti i modi (operazioni, spinta, safe).</t>
        </is>
      </c>
      <c r="D80" s="47" t="inlineStr">
        <is>
          <t>~15–20 °C (TBC) in operazioni; limiti dei componenti dai datasheet (batteria, motore, ruote, computer)</t>
        </is>
      </c>
      <c r="E80" s="47" t="inlineStr">
        <is>
          <t>Analisi termica (A5/Fase B), prova in termo-vuoto (Fase C)</t>
        </is>
      </c>
      <c r="F80" s="47" t="inlineStr">
        <is>
          <t>TBC</t>
        </is>
      </c>
      <c r="G80" s="47" t="inlineStr">
        <is>
          <t>D-110</t>
        </is>
      </c>
      <c r="H80" s="47" t="inlineStr">
        <is>
          <t>Giuseppe</t>
        </is>
      </c>
      <c r="I80" s="47" t="inlineStr">
        <is>
          <t>Valore proposto da Giuliano il 30/10/2026; i riscaldatori del telescopio (D-100) sono calcolati attorno a questo valore</t>
        </is>
      </c>
    </row>
    <row r="81" s="26">
      <c r="A81" s="47" t="inlineStr">
        <is>
          <t>DR-65</t>
        </is>
      </c>
      <c r="B81" s="47" t="inlineStr">
        <is>
          <t>Derivato</t>
        </is>
      </c>
      <c r="C81" s="47" t="inlineStr">
        <is>
          <t>Il software di bordo deve accendere il motore solo con stato di carica della batteria ≥ 90% e spegnerlo sotto l'80%, recuperando la spinta mancata nelle orbite successive.</t>
        </is>
      </c>
      <c r="D81" s="47" t="inlineStr">
        <is>
          <t>Accensione ≥ 90%, spegnimento &lt; 80% (TBC)</t>
        </is>
      </c>
      <c r="E81" s="47" t="inlineStr">
        <is>
          <t>Simulazione (A5.6.7), poi prova del software (Fase C)</t>
        </is>
      </c>
      <c r="F81" s="47" t="inlineStr">
        <is>
          <t>TBC</t>
        </is>
      </c>
      <c r="G81" s="47" t="inlineStr">
        <is>
          <t>D-112 (A5.6.7)</t>
        </is>
      </c>
      <c r="H81" s="47" t="inlineStr">
        <is>
          <t>Giuliano</t>
        </is>
      </c>
      <c r="I81" s="47" t="inlineStr">
        <is>
          <t>Sole alto: spinta ridotta a ~5,6 h/giorno con SoC minimo 73%</t>
        </is>
      </c>
    </row>
    <row r="82" s="26">
      <c r="A82" s="47" t="inlineStr">
        <is>
          <t>DR-66</t>
        </is>
      </c>
      <c r="B82" s="47" t="inlineStr">
        <is>
          <t>Derivato</t>
        </is>
      </c>
      <c r="C82" s="47" t="inlineStr">
        <is>
          <t>La gestione della potenza deve avere livelli di protezione della batteria a soglie di stato di carica (stop alle riprese, poi safe) definiti nell'analisi FDIR.</t>
        </is>
      </c>
      <c r="D82" s="47" t="inlineStr">
        <is>
          <t>Soglie TBD (indicative: 70% stop riprese, 50% safe)</t>
        </is>
      </c>
      <c r="E82" s="47" t="inlineStr">
        <is>
          <t>Analisi FDIR (Fase C)</t>
        </is>
      </c>
      <c r="F82" s="47" t="inlineStr">
        <is>
          <t>TBD</t>
        </is>
      </c>
      <c r="G82" s="47" t="inlineStr">
        <is>
          <t>D-112 (A5.6.7)</t>
        </is>
      </c>
      <c r="H82" s="47" t="inlineStr">
        <is>
          <t>Giuliano</t>
        </is>
      </c>
      <c r="I82" s="47" t="inlineStr">
        <is>
          <t>Requisito per la Fase C (opzione C di D-112)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 | 30/10/2026 (A5.6.7): simulazione dello stato di carica: routine ed emergenza con SoC ≥ 79,6% e avanzo ≥ 119 Wh/giorno; spinta senza scaricare la batteria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 | 30/10/2026 (D-106): con ali a zenit il safe tiene il Sole dietro il telescopio (~180°): caso coperchio bloccato aperto coperto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 s="26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  <row r="56" s="26">
      <c r="A56" s="47" t="inlineStr">
        <is>
          <t>R-55</t>
        </is>
      </c>
      <c r="B56" s="47" t="inlineStr">
        <is>
          <t>Il sensore notturno o la scheda payload, spenti, vengono raffreddati troppo dai propri radiatori (fino a ~−43 °C con il rollio di D-106), sotto i limiti dei componenti</t>
        </is>
      </c>
      <c r="C56" s="47" t="inlineStr">
        <is>
          <t>Guasti o cicli termici eccessivi sull'elettronica e sul sensore; ritardo prima delle riprese per riscaldare</t>
        </is>
      </c>
      <c r="D56" s="47" t="inlineStr">
        <is>
          <t>Media</t>
        </is>
      </c>
      <c r="E56" s="47" t="inlineStr">
        <is>
          <t>Media</t>
        </is>
      </c>
      <c r="F56" s="50">
        <f>IF(OR(D56="",E56=""),"",MATCH(D56,{"Bassa","Media","Alta"},0)*MATCH(E56,{"Bassa","Media","Alta"},0))</f>
        <v/>
      </c>
      <c r="G56" s="47" t="inlineStr">
        <is>
          <t>Riscaldatori di sopravvivenza con termostato (~1 W, D-107); limiti di temperatura dai datasheet; in Fase B interruttore termico o radiatore a collegamento variabile e modello termico completo</t>
        </is>
      </c>
      <c r="H56" s="47" t="inlineStr">
        <is>
          <t>Fase B (modello termico, datasheet)</t>
        </is>
      </c>
      <c r="I56" s="47" t="n"/>
      <c r="J56" s="47" t="inlineStr">
        <is>
          <t>Giuseppe</t>
        </is>
      </c>
      <c r="K56" s="47" t="inlineStr">
        <is>
          <t>In mitigazione</t>
        </is>
      </c>
      <c r="L56" s="47" t="inlineStr">
        <is>
          <t>A5</t>
        </is>
      </c>
      <c r="M56" s="47" t="inlineStr">
        <is>
          <t>Nato con la verifica di D-106 (30/10/2026); il problema c'era già a nadir (~−33 °C), il rollio lo peggiora di ~10 K</t>
        </is>
      </c>
    </row>
    <row r="57" s="26">
      <c r="A57" s="47" t="inlineStr">
        <is>
          <t>R-56</t>
        </is>
      </c>
      <c r="B57" s="47" t="inlineStr">
        <is>
          <t>Con attività solare alta (data di lancio vicina al massimo del ciclo) la potenza dei 6 pannelli non basta per le ~7,8 h/giorno di spinta</t>
        </is>
      </c>
      <c r="C57" s="47" t="inlineStr">
        <is>
          <t>Quota non mantenuta o vita ridotta (come per il propellente, R-12)</t>
        </is>
      </c>
      <c r="D57" s="47" t="inlineStr">
        <is>
          <t>Bassa</t>
        </is>
      </c>
      <c r="E57" s="47" t="inlineStr">
        <is>
          <t>Alta</t>
        </is>
      </c>
      <c r="F57" s="50">
        <f>IF(OR(D57="",E57=""),"",MATCH(D57,{"Bassa","Media","Alta"},0)*MATCH(E57,{"Bassa","Media","Alta"},0))</f>
        <v/>
      </c>
      <c r="G57" s="47" t="inlineStr">
        <is>
          <t>Data di lancio nella fase discendente del ciclo; riserva di 8 pannelli da verificare nel layout (A5.7); riduzione dei consumi fissi (giroscopio 5 W) in Fase B; revisione congiunta con D-033 e D-034 quando la data è nota; regola di bordo 90/80% (D-112): la batteria non si svuota, spinta ridotta a ~5,6 h/giorno</t>
        </is>
      </c>
      <c r="H57" s="47" t="inlineStr">
        <is>
          <t>A6 / Fase B</t>
        </is>
      </c>
      <c r="I57" s="47" t="n"/>
      <c r="J57" s="47" t="inlineStr">
        <is>
          <t>Giuliano</t>
        </is>
      </c>
      <c r="K57" s="47" t="inlineStr">
        <is>
          <t>In mitigazione</t>
        </is>
      </c>
      <c r="L57" s="47" t="inlineStr">
        <is>
          <t>A5</t>
        </is>
      </c>
      <c r="M57" s="47" t="inlineStr">
        <is>
          <t>Nato con D-108 (30/10/2026) | 30/10/2026 (A5.6.7): senza regola la batteria si svuota in &lt; 1 giorno; con D-112 spinta ~5,6 h/giorno (servono 7,8)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2026-10-30T18:15:36Z</dcterms:modified>
  <cp:revision>0</cp:revision>
</cp:coreProperties>
</file>