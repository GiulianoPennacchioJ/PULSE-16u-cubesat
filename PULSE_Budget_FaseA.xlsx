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in A5.6.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0.235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</t>
        </is>
      </c>
      <c r="M3" s="30" t="inlineStr">
        <is>
          <t>Rocket Lab ST-16RT2 con paraluce grande (158 g senza, 185 g corto, 235 g grande): valore prudente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TT&amp;C: ricetrasmettitore S (classe XLink-S) + radio VHF/UHF di riserva (classe ISIS)</t>
        </is>
      </c>
      <c r="D10" s="30" t="inlineStr">
        <is>
          <t>Giuliano</t>
        </is>
      </c>
      <c r="E10" s="30" t="n">
        <v>1</v>
      </c>
      <c r="F10" s="31" t="n">
        <v>0.275</v>
      </c>
      <c r="G10" s="32">
        <f>IF(OR(E10="",F10=""),"",E10*F10)</f>
        <v/>
      </c>
      <c r="H10" s="30" t="inlineStr">
        <is>
          <t>Catalogo modificato</t>
        </is>
      </c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Datasheet</t>
        </is>
      </c>
      <c r="L10" s="30" t="inlineStr">
        <is>
          <t>D-082, D-084</t>
        </is>
      </c>
      <c r="M10" s="30" t="inlineStr">
        <is>
          <t>XLink-S 0,200 kg (&lt; 0,2U) + ISIS VHF/UHF 0,075 kg (90 × 96 × 15 mm). Margine 10%: eredità di volo XLink-S da verificare (R-46). Ripiego R1 (ISIS TXS2 + ricevitore) 0,217 kg</t>
        </is>
      </c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TT&amp;C: 2 patch S (nadir compatta + zenit) + antenna VHF/UHF dispiegabile</t>
        </is>
      </c>
      <c r="D11" s="30" t="inlineStr">
        <is>
          <t>Giuliano</t>
        </is>
      </c>
      <c r="E11" s="30" t="n">
        <v>1</v>
      </c>
      <c r="F11" s="31" t="n">
        <v>0.189</v>
      </c>
      <c r="G11" s="32">
        <f>IF(OR(E11="",F11=""),"",E11*F11)</f>
        <v/>
      </c>
      <c r="H11" s="30" t="inlineStr">
        <is>
          <t>Catalogo modificato</t>
        </is>
      </c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Datasheet</t>
        </is>
      </c>
      <c r="L11" s="30" t="inlineStr">
        <is>
          <t>D-068, D-080, D-082</t>
        </is>
      </c>
      <c r="M11" s="30" t="inlineStr">
        <is>
          <t>2 × patch S &lt; 0,050 kg (ISIS; la patch a nadir compatta ≤ 60 mm è TBC, D-080) + ISIS AntS 0,089 kg. Cavi RF nei cablaggi (M-25)</t>
        </is>
      </c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RC + 3 lenti, vetro + carbonio (D-088, D-090), con piastra del piano focale</t>
        </is>
      </c>
      <c r="D12" s="30" t="inlineStr">
        <is>
          <t>Giuseppe</t>
        </is>
      </c>
      <c r="E12" s="30" t="n">
        <v>1</v>
      </c>
      <c r="F12" s="31" t="n">
        <v>1.595</v>
      </c>
      <c r="G12" s="32">
        <f>IF(OR(E12="",F12=""),"",E12*F12)</f>
        <v/>
      </c>
      <c r="H12" s="30" t="inlineStr">
        <is>
          <t>Nuovo</t>
        </is>
      </c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Calcolo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>
        <v>0.25</v>
      </c>
      <c r="G13" s="32">
        <f>IF(OR(E13="",F13=""),"",E13*F13)</f>
        <v/>
      </c>
      <c r="H13" s="30" t="inlineStr">
        <is>
          <t>Nuovo</t>
        </is>
      </c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Calcolo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>
        <v>0.22</v>
      </c>
      <c r="G14" s="32">
        <f>IF(OR(E14="",F14=""),"",E14*F14)</f>
        <v/>
      </c>
      <c r="H14" s="30" t="inlineStr">
        <is>
          <t>Nuovo</t>
        </is>
      </c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Calcolo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Paraluce esterno 10 cm + coperchio motorizzato (D-079)</t>
        </is>
      </c>
      <c r="D15" s="30" t="inlineStr">
        <is>
          <t>Giuseppe</t>
        </is>
      </c>
      <c r="E15" s="30" t="n">
        <v>1</v>
      </c>
      <c r="F15" s="31" t="n">
        <v>0.3</v>
      </c>
      <c r="G15" s="32">
        <f>IF(OR(E15="",F15=""),"",E15*F15)</f>
        <v/>
      </c>
      <c r="H15" s="30" t="inlineStr">
        <is>
          <t>Nuovo</t>
        </is>
      </c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Calcolo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payload: FPGA + chip AI + scatola (D-085)</t>
        </is>
      </c>
      <c r="D16" s="30" t="inlineStr">
        <is>
          <t>Giuseppe</t>
        </is>
      </c>
      <c r="E16" s="30" t="n">
        <v>1</v>
      </c>
      <c r="F16" s="31" t="n">
        <v>0.45</v>
      </c>
      <c r="G16" s="32">
        <f>IF(OR(E16="",F16=""),"",E16*F16)</f>
        <v/>
      </c>
      <c r="H16" s="30" t="inlineStr">
        <is>
          <t>Catalogo modificato</t>
        </is>
      </c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Calcolo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 32 GB (sulla scheda FPGA, D-086)</t>
        </is>
      </c>
      <c r="D17" s="30" t="inlineStr">
        <is>
          <t>Giuseppe</t>
        </is>
      </c>
      <c r="E17" s="30" t="n">
        <v>1</v>
      </c>
      <c r="F17" s="31" t="n">
        <v>0.02</v>
      </c>
      <c r="G17" s="32">
        <f>IF(OR(E17="",F17=""),"",E17*F17)</f>
        <v/>
      </c>
      <c r="H17" s="30" t="inlineStr">
        <is>
          <t>Catalogo</t>
        </is>
      </c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Calcolo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0" t="n">
        <v>1</v>
      </c>
      <c r="F18" s="31" t="n"/>
      <c r="G18" s="32">
        <f>IF(OR(E18="",F18=""),"",E18*F18)</f>
        <v/>
      </c>
      <c r="H18" s="30" t="n"/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TBD</t>
        </is>
      </c>
      <c r="L18" s="30" t="n"/>
      <c r="M18" s="30" t="n"/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TBC</t>
        </is>
      </c>
      <c r="E19" s="30" t="n"/>
      <c r="F19" s="31" t="n"/>
      <c r="G19" s="32">
        <f>IF(OR(E19="",F19=""),"",E19*F19)</f>
        <v/>
      </c>
      <c r="H19" s="30" t="n"/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TBD</t>
        </is>
      </c>
      <c r="L19" s="30" t="n"/>
      <c r="M19" s="30" t="n"/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TBC</t>
        </is>
      </c>
      <c r="E20" s="30" t="n"/>
      <c r="F20" s="31" t="n"/>
      <c r="G20" s="32">
        <f>IF(OR(E20="",F20=""),"",E20*F20)</f>
        <v/>
      </c>
      <c r="H20" s="30" t="n"/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TBD</t>
        </is>
      </c>
      <c r="L20" s="30" t="n"/>
      <c r="M20" s="30" t="n"/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TBC</t>
        </is>
      </c>
      <c r="E21" s="30" t="n">
        <v>1</v>
      </c>
      <c r="F21" s="31" t="n"/>
      <c r="G21" s="32">
        <f>IF(OR(E21="",F21=""),"",E21*F21)</f>
        <v/>
      </c>
      <c r="H21" s="30" t="n"/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TBD</t>
        </is>
      </c>
      <c r="L21" s="30" t="n"/>
      <c r="M21" s="30" t="n"/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0" t="n">
        <v>1</v>
      </c>
      <c r="F22" s="31" t="n"/>
      <c r="G22" s="32">
        <f>IF(OR(E22="",F22=""),"",E22*F22)</f>
        <v/>
      </c>
      <c r="H22" s="30" t="n"/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TBD</t>
        </is>
      </c>
      <c r="L22" s="30" t="n"/>
      <c r="M22" s="30" t="n"/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0" t="n"/>
      <c r="F23" s="31" t="n"/>
      <c r="G23" s="32">
        <f>IF(OR(E23="",F23=""),"",E23*F23)</f>
        <v/>
      </c>
      <c r="H23" s="30" t="n"/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TBD</t>
        </is>
      </c>
      <c r="L23" s="30" t="n"/>
      <c r="M23" s="30" t="n"/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>
        <v>1</v>
      </c>
      <c r="F24" s="31" t="n">
        <v>0.18</v>
      </c>
      <c r="G24" s="32">
        <f>IF(OR(E24="",F24=""),"",E24*F24)</f>
        <v/>
      </c>
      <c r="H24" s="30" t="inlineStr">
        <is>
          <t>Nuovo</t>
        </is>
      </c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Calcolo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0" t="n"/>
      <c r="F25" s="31" t="n"/>
      <c r="G25" s="32">
        <f>IF(OR(E25="",F25=""),"",E25*F25)</f>
        <v/>
      </c>
      <c r="H25" s="30" t="n"/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TBD</t>
        </is>
      </c>
      <c r="L25" s="30" t="n"/>
      <c r="M25" s="30" t="n"/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TBC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TT&amp;C: ricetrasmettitore S + radio VHF/UHF</t>
        </is>
      </c>
      <c r="D10" s="30" t="inlineStr">
        <is>
          <t>Giuliano</t>
        </is>
      </c>
      <c r="E10" s="36" t="n">
        <v>0.48</v>
      </c>
      <c r="F10" s="36" t="n">
        <v>0.48</v>
      </c>
      <c r="G10" s="36" t="n">
        <v>0.48</v>
      </c>
      <c r="H10" s="36" t="n">
        <v>15.48</v>
      </c>
      <c r="I10" s="36" t="n">
        <v>0.48</v>
      </c>
      <c r="J10" s="30" t="inlineStr">
        <is>
          <t>Catalogo modificato</t>
        </is>
      </c>
      <c r="K10" s="33">
        <f>IF(J10="","",INDEX(Liste!$B$2:$B$4,MATCH(J10,Liste!$A$2:$A$4,0)))</f>
        <v/>
      </c>
      <c r="L10" s="30" t="inlineStr">
        <is>
          <t>Datasheet</t>
        </is>
      </c>
      <c r="M10" s="30" t="inlineStr">
        <is>
          <t>D-084, D-082</t>
        </is>
      </c>
      <c r="N10" s="30" t="inlineStr">
        <is>
          <t>Fuori dai contatti: solo ricevitore VHF sempre acceso (0,48 W). Scarico: XLink-S &lt; 15 W con TX e RX + VHF. Ricevitore S anche ~1,3 h/giorno in sola ricezione attorno ai contatti (&lt; 4 W). Contatti ~71 min/giorno per satellite (in qualunque modo, anche in spinta: D-068). Emergenza UHF in trasmissione 4 W. Energia: TX ~17,7 Wh/giorno + RX S ~5 Wh + VHF ~11,5 Wh ≈ 34 Wh/giorno (profilo in A5.6)</t>
        </is>
      </c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 (passive)</t>
        </is>
      </c>
      <c r="D11" s="30" t="inlineStr">
        <is>
          <t>Giuliano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0" t="inlineStr">
        <is>
          <t>Catalogo</t>
        </is>
      </c>
      <c r="K11" s="33">
        <f>IF(J11="","",INDEX(Liste!$B$2:$B$4,MATCH(J11,Liste!$A$2:$A$4,0)))</f>
        <v/>
      </c>
      <c r="L11" s="30" t="inlineStr">
        <is>
          <t>Datasheet</t>
        </is>
      </c>
      <c r="M11" s="30" t="inlineStr">
        <is>
          <t>D-068, D-080, D-082</t>
        </is>
      </c>
      <c r="N11" s="30" t="inlineStr">
        <is>
          <t>Passive. Dispiegamento dell'antenna VHF/UHF una volta sola: 2 W per &lt; 3 s per elemento (ISIS AntS)</t>
        </is>
      </c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RC (specchi, lenti, struttura ottica)</t>
        </is>
      </c>
      <c r="D12" s="30" t="inlineStr">
        <is>
          <t>Giuseppe</t>
        </is>
      </c>
      <c r="E12" s="36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0" t="inlineStr">
        <is>
          <t>Nuovo</t>
        </is>
      </c>
      <c r="K12" s="33">
        <f>IF(J12="","",INDEX(Liste!$B$2:$B$4,MATCH(J12,Liste!$A$2:$A$4,0)))</f>
        <v/>
      </c>
      <c r="L12" s="30" t="inlineStr">
        <is>
          <t>Stima</t>
        </is>
      </c>
      <c r="M12" s="30" t="inlineStr">
        <is>
          <t>D-088, D-090</t>
        </is>
      </c>
      <c r="N12" s="30" t="inlineStr">
        <is>
          <t>Nessun consumo proprio: i riscaldatori del telescopio stanno in P-23. Valori di Giuseppe del 30/10/2026, provvisori TBC fino ad A5.P6/A5.P7 (a5_calcoli/p6_potenza_provvisoria.py)</t>
        </is>
      </c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>
        <v>5</v>
      </c>
      <c r="F13" s="36" t="n">
        <v>0</v>
      </c>
      <c r="G13" s="36" t="n">
        <v>0</v>
      </c>
      <c r="H13" s="36" t="n">
        <v>0</v>
      </c>
      <c r="I13" s="36" t="n">
        <v>0</v>
      </c>
      <c r="J13" s="30" t="inlineStr">
        <is>
          <t>Catalogo modificato</t>
        </is>
      </c>
      <c r="K13" s="33">
        <f>IF(J13="","",INDEX(Liste!$B$2:$B$4,MATCH(J13,Liste!$A$2:$A$4,0)))</f>
        <v/>
      </c>
      <c r="L13" s="30" t="inlineStr">
        <is>
          <t>Datasheet</t>
        </is>
      </c>
      <c r="M13" s="30" t="inlineStr">
        <is>
          <t>D-093, D-097</t>
        </is>
      </c>
      <c r="N13" s="30" t="inlineStr">
        <is>
          <t>Classe Sony IMX342: camera Imperx CXP-C6440 con lo stesso sensore 5,3 W tipici a 25 fps 12 bit; con il rallentamento (D-096) bastano ~10 immagini/s, 5 W tenuto prudente. Acceso ~8 min per passaggio diurno con riprese. a5_calcoli/p6_potenza.py</t>
        </is>
      </c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>
        <v>0</v>
      </c>
      <c r="F14" s="36" t="n">
        <v>2</v>
      </c>
      <c r="G14" s="36" t="n">
        <v>0</v>
      </c>
      <c r="H14" s="36" t="n">
        <v>0</v>
      </c>
      <c r="I14" s="36" t="n">
        <v>0</v>
      </c>
      <c r="J14" s="30" t="inlineStr">
        <is>
          <t>Catalogo modificato</t>
        </is>
      </c>
      <c r="K14" s="33">
        <f>IF(J14="","",INDEX(Liste!$B$2:$B$4,MATCH(J14,Liste!$A$2:$A$4,0)))</f>
        <v/>
      </c>
      <c r="L14" s="30" t="inlineStr">
        <is>
          <t>Datasheet</t>
        </is>
      </c>
      <c r="M14" s="30" t="inlineStr">
        <is>
          <t>D-094, D-097</t>
        </is>
      </c>
      <c r="N14" s="30" t="inlineStr">
        <is>
          <t>Classe Gpixel GSENSE400BSI: sensore &lt; 0,6 W (scheda prodotto) + elettronica di lettura ~1,4 W (stima). Acceso ~8 min per passaggio notturno</t>
        </is>
      </c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>
        <v>0</v>
      </c>
      <c r="F15" s="36" t="n">
        <v>0</v>
      </c>
      <c r="G15" s="36" t="n">
        <v>0</v>
      </c>
      <c r="H15" s="36" t="n">
        <v>0</v>
      </c>
      <c r="I15" s="36" t="n">
        <v>0</v>
      </c>
      <c r="J15" s="30" t="inlineStr">
        <is>
          <t>Nuovo</t>
        </is>
      </c>
      <c r="K15" s="33">
        <f>IF(J15="","",INDEX(Liste!$B$2:$B$4,MATCH(J15,Liste!$A$2:$A$4,0)))</f>
        <v/>
      </c>
      <c r="L15" s="30" t="inlineStr">
        <is>
          <t>Stima</t>
        </is>
      </c>
      <c r="M15" s="30" t="inlineStr">
        <is>
          <t>D-079, D-097</t>
        </is>
      </c>
      <c r="N15" s="30" t="inlineStr">
        <is>
          <t>Motorino ~2 W per ~10 s a movimento (~4 movimenti/giorno, ~0,02 Wh/giorno): trascurabile nei modi</t>
        </is>
      </c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>
        <v>7</v>
      </c>
      <c r="F16" s="36" t="n">
        <v>7</v>
      </c>
      <c r="G16" s="36" t="n">
        <v>0</v>
      </c>
      <c r="H16" s="36" t="n">
        <v>3.5</v>
      </c>
      <c r="I16" s="36" t="n">
        <v>0</v>
      </c>
      <c r="J16" s="30" t="inlineStr">
        <is>
          <t>Catalogo modificato</t>
        </is>
      </c>
      <c r="K16" s="33">
        <f>IF(J16="","",INDEX(Liste!$B$2:$B$4,MATCH(J16,Liste!$A$2:$A$4,0)))</f>
        <v/>
      </c>
      <c r="L16" s="30" t="inlineStr">
        <is>
          <t>Datasheet</t>
        </is>
      </c>
      <c r="M16" s="30" t="inlineStr">
        <is>
          <t>D-085, D-092, D-097</t>
        </is>
      </c>
      <c r="N16" s="30" t="inlineStr">
        <is>
          <t>Scheda FPGA classe Xiphos Q8 (Zynq UltraScale+ ZU7EG, 5 W tipici, 3,5–25 W, in volo dal 2020) + chip AI classe Ubotica CogniSAT-XE1 (Myriad 2, 2 W tipici, 5 W max, TRL 9). Ripresa: FPGA 5 + AI 2 W (FPGA ~10 min, AI ~2 min per passaggio). Scarico: solo FPGA al minimo della classe 3,5 W (AI spento), ~71 min/giorno (D-092) = ~4,1 Wh/giorno</t>
        </is>
      </c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>
        <v>0</v>
      </c>
      <c r="F17" s="36" t="n">
        <v>0</v>
      </c>
      <c r="G17" s="36" t="n">
        <v>0</v>
      </c>
      <c r="H17" s="36" t="n">
        <v>0</v>
      </c>
      <c r="I17" s="36" t="n">
        <v>0</v>
      </c>
      <c r="J17" s="30" t="inlineStr">
        <is>
          <t>Catalogo</t>
        </is>
      </c>
      <c r="K17" s="33">
        <f>IF(J17="","",INDEX(Liste!$B$2:$B$4,MATCH(J17,Liste!$A$2:$A$4,0)))</f>
        <v/>
      </c>
      <c r="L17" s="30" t="inlineStr">
        <is>
          <t>Calcolo</t>
        </is>
      </c>
      <c r="M17" s="30" t="inlineStr">
        <is>
          <t>D-086</t>
        </is>
      </c>
      <c r="N17" s="30" t="inlineStr">
        <is>
          <t>Inclusa in P-15 (memoria sulla scheda FPGA)</t>
        </is>
      </c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6" t="n"/>
      <c r="F18" s="36" t="n"/>
      <c r="G18" s="36" t="n"/>
      <c r="H18" s="36" t="n"/>
      <c r="I18" s="36" t="n"/>
      <c r="J18" s="30" t="n"/>
      <c r="K18" s="33">
        <f>IF(J18="","",INDEX(Liste!$B$2:$B$4,MATCH(J18,Liste!$A$2:$A$4,0)))</f>
        <v/>
      </c>
      <c r="L18" s="30" t="inlineStr">
        <is>
          <t>TBD</t>
        </is>
      </c>
      <c r="M18" s="30" t="n"/>
      <c r="N18" s="30" t="n"/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6" t="n"/>
      <c r="F19" s="36" t="n"/>
      <c r="G19" s="36" t="n"/>
      <c r="H19" s="36" t="n"/>
      <c r="I19" s="36" t="n"/>
      <c r="J19" s="30" t="n"/>
      <c r="K19" s="33">
        <f>IF(J19="","",INDEX(Liste!$B$2:$B$4,MATCH(J19,Liste!$A$2:$A$4,0)))</f>
        <v/>
      </c>
      <c r="L19" s="30" t="inlineStr">
        <is>
          <t>TBD</t>
        </is>
      </c>
      <c r="M19" s="30" t="inlineStr">
        <is>
          <t>D-087</t>
        </is>
      </c>
      <c r="N19" s="30" t="n"/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6" t="n"/>
      <c r="F20" s="36" t="n"/>
      <c r="G20" s="36" t="n"/>
      <c r="H20" s="36" t="n"/>
      <c r="I20" s="36" t="n"/>
      <c r="J20" s="30" t="n"/>
      <c r="K20" s="33">
        <f>IF(J20="","",INDEX(Liste!$B$2:$B$4,MATCH(J20,Liste!$A$2:$A$4,0)))</f>
        <v/>
      </c>
      <c r="L20" s="30" t="inlineStr">
        <is>
          <t>TBD</t>
        </is>
      </c>
      <c r="M20" s="30" t="inlineStr">
        <is>
          <t>D-087</t>
        </is>
      </c>
      <c r="N20" s="30" t="n"/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6" t="n"/>
      <c r="F21" s="36" t="n"/>
      <c r="G21" s="36" t="n"/>
      <c r="H21" s="36" t="n"/>
      <c r="I21" s="36" t="n"/>
      <c r="J21" s="30" t="n"/>
      <c r="K21" s="33">
        <f>IF(J21="","",INDEX(Liste!$B$2:$B$4,MATCH(J21,Liste!$A$2:$A$4,0)))</f>
        <v/>
      </c>
      <c r="L21" s="30" t="inlineStr">
        <is>
          <t>TBD</t>
        </is>
      </c>
      <c r="M21" s="30" t="inlineStr">
        <is>
          <t>D-087</t>
        </is>
      </c>
      <c r="N21" s="30" t="n"/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>
        <v>4</v>
      </c>
      <c r="F24" s="36" t="n">
        <v>4</v>
      </c>
      <c r="G24" s="36" t="n">
        <v>4</v>
      </c>
      <c r="H24" s="36" t="n">
        <v>4</v>
      </c>
      <c r="I24" s="36" t="n">
        <v>4</v>
      </c>
      <c r="J24" s="30" t="inlineStr">
        <is>
          <t>Nuovo</t>
        </is>
      </c>
      <c r="K24" s="33">
        <f>IF(J24="","",INDEX(Liste!$B$2:$B$4,MATCH(J24,Liste!$A$2:$A$4,0)))</f>
        <v/>
      </c>
      <c r="L24" s="30" t="inlineStr">
        <is>
          <t>Stima</t>
        </is>
      </c>
      <c r="M24" s="30" t="inlineStr">
        <is>
          <t>DR-03</t>
        </is>
      </c>
      <c r="N24" s="30" t="inlineStr">
        <is>
          <t>~4 W di picco su telescopio e sensori per il fuoco entro ±37 µm, contati sempre accesi (~96 Wh/giorno) finché A5.P7 non dà il ciclo: valore prudente, voce più grande e più incerta del payload. In safe ~2 W (sopravvivenza): nella colonna Riposo/safe resta 4 W, caso prudente. Valori di Giuseppe del 30/10/2026, provvisori TBC fino ad A5.P6/A5.P7 (a5_calcoli/p6_potenza_provvisoria.py)</t>
        </is>
      </c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6" t="n"/>
      <c r="F25" s="36" t="n"/>
      <c r="G25" s="36" t="n"/>
      <c r="H25" s="36" t="n"/>
      <c r="I25" s="36" t="n"/>
      <c r="J25" s="30" t="n"/>
      <c r="K25" s="33">
        <f>IF(J25="","",INDEX(Liste!$B$2:$B$4,MATCH(J25,Liste!$A$2:$A$4,0)))</f>
        <v/>
      </c>
      <c r="L25" s="30" t="inlineStr">
        <is>
          <t>TBD</t>
        </is>
      </c>
      <c r="M25" s="30" t="n"/>
      <c r="N25" s="30" t="n"/>
    </row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2" ht="23.85" customHeight="1" s="22">
      <c r="C32" s="38" t="inlineStr">
        <is>
          <t>Media sull'orbita e profilo eclisse/luce: da A5.6 (TBD)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>
        <v>5</v>
      </c>
      <c r="E7" s="30" t="n">
        <v>1</v>
      </c>
      <c r="F7" s="40">
        <f>IF(OR(D7="",E7=""),"",D7*E7)</f>
        <v/>
      </c>
      <c r="G7" s="30" t="inlineStr">
        <is>
          <t>Stima</t>
        </is>
      </c>
      <c r="H7" s="30" t="inlineStr">
        <is>
          <t>A5.5 (Giuliano)</t>
        </is>
      </c>
      <c r="I7" s="30" t="inlineStr">
        <is>
          <t>Telemetria di piattaforma ~5 MB/giorno (stima: ~300 parametri da 2 byte ogni 10 s ≈ 5,2 MB; dati ADCS ad alta frequenza durante le riprese trascurabili). Telemetria del payload ~3 MB/giorno: riga di Giuseppe</t>
        </is>
      </c>
    </row>
    <row r="9" ht="15" customHeight="1" s="22">
      <c r="B9" s="34" t="inlineStr">
        <is>
          <t>Volume giornaliero totale (MB)</t>
        </is>
      </c>
      <c r="F9" s="41">
        <f>SUM(F2:F7)</f>
        <v/>
      </c>
    </row>
    <row r="10" ht="23.85" customHeight="1" s="22">
      <c r="B10" s="38" t="inlineStr">
        <is>
          <t>Capacità di scarico al giorno per satellite (MB): banda S 4,3 Mbit/s, ~71 min/giorno di contatto, 30 s di aggancio per contatto (D-069, A5.5.4)</t>
        </is>
      </c>
      <c r="F10" s="41" t="n">
        <v>2030</v>
      </c>
    </row>
    <row r="11" ht="23.85" customHeight="1" s="22">
      <c r="B11" s="38" t="inlineStr">
        <is>
          <t>Memoria di bordo: margine RAM ≥ 50%, processore ≤ 50% (D-035)</t>
        </is>
      </c>
    </row>
    <row r="12">
      <c r="B12" s="21" t="inlineStr">
        <is>
          <t>Uso della capacità (volume / capacità)</t>
        </is>
      </c>
      <c r="F12" s="41">
        <f>IF(F9="","",F9/F10)</f>
        <v/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250</v>
      </c>
      <c r="G2" s="40">
        <f>IF(OR(D2="",E2="",F2=""),"",D2*E2*F2/1000000)</f>
        <v/>
      </c>
      <c r="I2" s="30" t="inlineStr">
        <is>
          <t>D-034</t>
        </is>
      </c>
      <c r="J2" s="30" t="inlineStr">
        <is>
          <t>Valore prudente (l'altra tabella T4I dà 200 mm). DA VERIFICARE IN A5.7: con l'orientamento L1 (D-043) la spinta è lungo X, dove l'involucro è 226,3 mm: con 250 mm l'unità non entra se l'ugello è in testata; controllare disegno T4I</t>
        </is>
      </c>
    </row>
    <row r="3" ht="15" customHeight="1" s="22">
      <c r="A3" s="28" t="inlineStr">
        <is>
          <t>V-02</t>
        </is>
      </c>
      <c r="B3" s="28" t="inlineStr">
        <is>
          <t>Telescopio RC con paraluce e coperchio (D-088)</t>
        </is>
      </c>
      <c r="C3" s="30" t="inlineStr">
        <is>
          <t>Giuseppe</t>
        </is>
      </c>
      <c r="D3" s="30" t="n">
        <v>140</v>
      </c>
      <c r="E3" s="30" t="n">
        <v>140</v>
      </c>
      <c r="F3" s="30" t="n">
        <v>410</v>
      </c>
      <c r="G3" s="40">
        <f>IF(OR(D3="",E3="",F3=""),"",D3*E3*F3/1000000)</f>
        <v/>
      </c>
      <c r="H3" s="21" t="inlineStr">
        <is>
          <t>Calcolo</t>
        </is>
      </c>
      <c r="I3" s="30" t="inlineStr">
        <is>
          <t>D-088, D-078</t>
        </is>
      </c>
      <c r="J3" s="30" t="inlineStr">
        <is>
          <t>Colonna contro un lato della faccia a nadir (asse a Y −43 mm); Z da 0 (coperchio) a ~410 mm (sensori). a5_calcoli/p4_massa_baricentro.py</t>
        </is>
      </c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155.7</v>
      </c>
      <c r="E4" s="30" t="n">
        <v>155.7</v>
      </c>
      <c r="F4" s="30" t="n">
        <v>155.7</v>
      </c>
      <c r="G4" s="40">
        <f>IF(OR(D4="",E4="",F4=""),"",D4*E4*F4/1000000)</f>
        <v/>
      </c>
      <c r="H4" s="21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>
        <v>80</v>
      </c>
      <c r="E5" s="30" t="n">
        <v>80</v>
      </c>
      <c r="F5" s="30" t="n">
        <v>80</v>
      </c>
      <c r="G5" s="40">
        <f>IF(OR(D5="",E5="",F5=""),"",D5*E5*F5/1000000)</f>
        <v/>
      </c>
      <c r="H5" s="21" t="inlineStr">
        <is>
          <t>Calcolo</t>
        </is>
      </c>
      <c r="I5" s="30" t="inlineStr">
        <is>
          <t>A5.5, D-084</t>
        </is>
      </c>
      <c r="J5" s="30" t="inlineStr">
        <is>
          <t>CUBO EQUIVALENTE (somma dei volumi), non ingombro reale: XLink-S ~0,2 L (&lt; 0,2U); ISIS VHF/UHF 90 × 96 × 15; AntS 98 × 98 × 7 (su una faccia esterna); 2 patch S ~80 × 80 × 9 (la nadir compatta ≤ 60 × 60, D-080). Posizioni in A5.7</t>
        </is>
      </c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>
        <v>100</v>
      </c>
      <c r="E6" s="30" t="n">
        <v>100</v>
      </c>
      <c r="F6" s="30" t="n">
        <v>60</v>
      </c>
      <c r="G6" s="40">
        <f>IF(OR(D6="",E6="",F6=""),"",D6*E6*F6/1000000)</f>
        <v/>
      </c>
      <c r="H6" s="21" t="inlineStr">
        <is>
          <t>Stima</t>
        </is>
      </c>
      <c r="I6" s="30" t="inlineStr">
        <is>
          <t>D-085, D-086</t>
        </is>
      </c>
      <c r="J6" s="30" t="inlineStr">
        <is>
          <t>Scatola della scheda FPGA + chip AI, TBC alla scelta della scheda; posizione proposta vicino ai sensori (cavi corti a 7,5 Gbit/s)</t>
        </is>
      </c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TBC</t>
        </is>
      </c>
      <c r="D7" s="30" t="n"/>
      <c r="E7" s="30" t="n"/>
      <c r="F7" s="30" t="n"/>
      <c r="G7" s="40">
        <f>IF(OR(D7="",E7="",F7=""),"",D7*E7*F7/1000000)</f>
        <v/>
      </c>
      <c r="I7" s="30" t="n"/>
      <c r="J7" s="30" t="n"/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TBC</t>
        </is>
      </c>
      <c r="D8" s="30" t="n"/>
      <c r="E8" s="30" t="n"/>
      <c r="F8" s="30" t="n"/>
      <c r="G8" s="40">
        <f>IF(OR(D8="",E8="",F8=""),"",D8*E8*F8/1000000)</f>
        <v/>
      </c>
      <c r="I8" s="30" t="n"/>
      <c r="J8" s="30" t="n"/>
    </row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2026-10-30T16:22:16Z</dcterms:modified>
  <cp:revision>0</cp:revision>
</cp:coreProperties>
</file>