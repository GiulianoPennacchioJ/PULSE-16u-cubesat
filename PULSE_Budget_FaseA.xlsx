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Massa" sheetId="3" state="visible" r:id="rId3"/>
    <sheet xmlns:r="http://schemas.openxmlformats.org/officeDocument/2006/relationships" name="Potenza" sheetId="4" state="visible" r:id="rId4"/>
    <sheet xmlns:r="http://schemas.openxmlformats.org/officeDocument/2006/relationships" name="Dati" sheetId="5" state="visible" r:id="rId5"/>
    <sheet xmlns:r="http://schemas.openxmlformats.org/officeDocument/2006/relationships" name="Volume" sheetId="6" state="visible" r:id="rId6"/>
    <sheet xmlns:r="http://schemas.openxmlformats.org/officeDocument/2006/relationships" name="List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9" fontId="9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2" fontId="10" fillId="4" borderId="1" applyAlignment="1" pivotButton="0" quotePrefix="0" xfId="0">
      <alignment horizontal="general" vertical="top" wrapText="1"/>
    </xf>
    <xf numFmtId="165" fontId="9" fillId="3" borderId="1" applyAlignment="1" pivotButton="0" quotePrefix="0" xfId="0">
      <alignment horizontal="general" vertical="top" wrapText="1"/>
    </xf>
    <xf numFmtId="165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2" fontId="9" fillId="3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horizontal="general" vertical="top" wrapText="1"/>
    </xf>
    <xf numFmtId="166" fontId="10" fillId="4" borderId="1" applyAlignment="1" pivotButton="0" quotePrefix="0" xfId="0">
      <alignment horizontal="general" vertical="top" wrapText="1"/>
    </xf>
    <xf numFmtId="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9" fontId="9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2" fontId="10" fillId="4" borderId="1" applyAlignment="1" pivotButton="0" quotePrefix="0" xfId="0">
      <alignment horizontal="general" vertical="top" wrapText="1"/>
    </xf>
    <xf numFmtId="165" fontId="9" fillId="3" borderId="1" applyAlignment="1" pivotButton="0" quotePrefix="0" xfId="0">
      <alignment horizontal="general" vertical="top" wrapText="1"/>
    </xf>
    <xf numFmtId="165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2" fontId="9" fillId="3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horizontal="general" vertical="top" wrapText="1"/>
    </xf>
    <xf numFmtId="166" fontId="10" fillId="4" borderId="1" applyAlignment="1" pivotButton="0" quotePrefix="0" xfId="0">
      <alignment horizontal="general" vertical="top" wrapText="1"/>
    </xf>
    <xf numFmtId="9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1" min="1" max="1"/>
    <col width="100" customWidth="1" style="21" min="2" max="2"/>
  </cols>
  <sheetData>
    <row r="1" ht="17.35" customHeight="1" s="22">
      <c r="A1" s="23" t="inlineStr">
        <is>
          <t>PULSE – Budget di Fase A</t>
        </is>
      </c>
    </row>
    <row r="2" ht="15" customHeight="1" s="22">
      <c r="A2" s="24" t="inlineStr">
        <is>
          <t>Giuliano Pennacchio · Giuseppe Parisi — creato il 23/10/2026 (A5.1), regole D-035 e D-036</t>
        </is>
      </c>
    </row>
    <row r="4" ht="15" customHeight="1" s="22">
      <c r="A4" s="24" t="inlineStr">
        <is>
          <t>Come si usa</t>
        </is>
      </c>
    </row>
    <row r="5" ht="15" customHeight="1" s="22">
      <c r="A5" s="24" t="inlineStr">
        <is>
          <t>Celle gialle, testo blu</t>
        </is>
      </c>
      <c r="B5" s="25" t="inlineStr">
        <is>
          <t>Valori da inserire. Le celle bianche con testo nero sono formule: non sovrascriverle.</t>
        </is>
      </c>
    </row>
    <row r="6" ht="15" customHeight="1" s="22">
      <c r="A6" s="24" t="inlineStr">
        <is>
          <t>Un file, una persona alla volta</t>
        </is>
      </c>
      <c r="B6" s="25" t="inlineStr">
        <is>
          <t>git pull prima di aprire; commit + push subito dopo (come il registro).</t>
        </is>
      </c>
    </row>
    <row r="7" ht="23.85" customHeight="1" s="22">
      <c r="A7" s="24" t="inlineStr">
        <is>
          <t>Ogni riga</t>
        </is>
      </c>
      <c r="B7" s="25" t="inlineStr">
        <is>
          <t>Responsabile, maturità (Catalogo 5% · Catalogo modificato 10% · Nuovo 20%), origine del numero (Datasheet, Calcolo, Stima, TBC, TBD) e riferimento alla decisione.</t>
        </is>
      </c>
    </row>
    <row r="8" ht="15" customHeight="1" s="22">
      <c r="A8" s="24" t="inlineStr">
        <is>
          <t>Margine di sistema</t>
        </is>
      </c>
      <c r="B8" s="25" t="inlineStr">
        <is>
          <t>20% sopra la somma con margini per voce (D-035), nel foglio Parametri.</t>
        </is>
      </c>
    </row>
    <row r="9" ht="15" customHeight="1" s="22">
      <c r="A9" s="24" t="inlineStr">
        <is>
          <t>Limiti di massa</t>
        </is>
      </c>
      <c r="B9" s="25" t="inlineStr">
        <is>
          <t>Obiettivo ≤ 32 kg, massimo ≤ 36 kg al rilascio, propellente pieno e margini compresi (D-036).</t>
        </is>
      </c>
    </row>
    <row r="10" ht="15" customHeight="1" s="22">
      <c r="A10" s="24" t="inlineStr">
        <is>
          <t>Responsabile TBC</t>
        </is>
      </c>
      <c r="B10" s="25" t="inlineStr">
        <is>
          <t>Voci di piattaforma da assegnare sotto-passo per sotto-passo (D-038, Aperta).</t>
        </is>
      </c>
    </row>
    <row r="11" ht="15" customHeight="1" s="22">
      <c r="A11" s="24" t="inlineStr">
        <is>
          <t>Riga d'esempio</t>
        </is>
      </c>
      <c r="B11" s="25" t="inlineStr">
        <is>
          <t>M-08 / P-08 / V-01: unità propulsiva REGULUS-50-I2 Large (A5.2, D-034).</t>
        </is>
      </c>
    </row>
    <row r="13" ht="15" customHeight="1" s="22">
      <c r="A13" s="24" t="inlineStr">
        <is>
          <t>Fogli</t>
        </is>
      </c>
    </row>
    <row r="14" ht="15" customHeight="1" s="22">
      <c r="A14" s="26" t="inlineStr">
        <is>
          <t>Parametri</t>
        </is>
      </c>
      <c r="B14" s="25" t="inlineStr">
        <is>
          <t>Margini e limiti di riferimento.</t>
        </is>
      </c>
    </row>
    <row r="15" ht="15" customHeight="1" s="22">
      <c r="A15" s="26" t="inlineStr">
        <is>
          <t>Massa</t>
        </is>
      </c>
      <c r="B15" s="25" t="inlineStr">
        <is>
          <t>Budget di massa con margini e verifica dei limiti.</t>
        </is>
      </c>
    </row>
    <row r="16" ht="15" customHeight="1" s="22">
      <c r="A16" s="26" t="inlineStr">
        <is>
          <t>Potenza</t>
        </is>
      </c>
      <c r="B16" s="25" t="inlineStr">
        <is>
          <t>Consumi per modo operativo; media sull'orbita in A5.6.</t>
        </is>
      </c>
    </row>
    <row r="17" ht="15" customHeight="1" s="22">
      <c r="A17" s="26" t="inlineStr">
        <is>
          <t>Dati</t>
        </is>
      </c>
      <c r="B17" s="25" t="inlineStr">
        <is>
          <t>Volumi per prodotto e al giorno; capacità di scarico da A5.5.</t>
        </is>
      </c>
    </row>
    <row r="18" ht="15" customHeight="1" s="22">
      <c r="A18" s="26" t="inlineStr">
        <is>
          <t>Volume</t>
        </is>
      </c>
      <c r="B18" s="25" t="inlineStr">
        <is>
          <t>Ingombri e confronto con l'involucro EXOpod Nova.</t>
        </is>
      </c>
    </row>
    <row r="19" ht="15" customHeight="1" s="22">
      <c r="A19" s="26" t="inlineStr">
        <is>
          <t>Liste</t>
        </is>
      </c>
      <c r="B19" s="25" t="inlineStr">
        <is>
          <t>Valori dei menu a tendina.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12" customWidth="1" style="21" min="2" max="2"/>
    <col width="10" customWidth="1" style="21" min="3" max="3"/>
    <col width="70" customWidth="1" style="21" min="4" max="4"/>
  </cols>
  <sheetData>
    <row r="1" ht="15" customHeight="1" s="22">
      <c r="A1" s="27" t="inlineStr">
        <is>
          <t>Parametro</t>
        </is>
      </c>
      <c r="B1" s="27" t="inlineStr">
        <is>
          <t>Valore</t>
        </is>
      </c>
      <c r="C1" s="27" t="inlineStr">
        <is>
          <t>Unità</t>
        </is>
      </c>
      <c r="D1" s="27" t="inlineStr">
        <is>
          <t>Origine</t>
        </is>
      </c>
    </row>
    <row r="2" ht="15" customHeight="1" s="22">
      <c r="A2" s="28" t="inlineStr">
        <is>
          <t>Margine di sistema (massa e potenza)</t>
        </is>
      </c>
      <c r="B2" s="29" t="n">
        <v>0.2</v>
      </c>
      <c r="C2" s="28" t="inlineStr">
        <is>
          <t>—</t>
        </is>
      </c>
      <c r="D2" s="28" t="inlineStr">
        <is>
          <t>D-035 (ESA TEC-SY/77/2016)</t>
        </is>
      </c>
    </row>
    <row r="3" ht="15" customHeight="1" s="22">
      <c r="A3" s="28" t="inlineStr">
        <is>
          <t>Cablaggi, quota minima della massa secca nominale</t>
        </is>
      </c>
      <c r="B3" s="29" t="n">
        <v>0.05</v>
      </c>
      <c r="C3" s="28" t="inlineStr">
        <is>
          <t>—</t>
        </is>
      </c>
      <c r="D3" s="28" t="inlineStr">
        <is>
          <t>D-035</t>
        </is>
      </c>
    </row>
    <row r="4" ht="15" customHeight="1" s="22">
      <c r="A4" s="28" t="inlineStr">
        <is>
          <t>Residui di propellente</t>
        </is>
      </c>
      <c r="B4" s="29" t="n">
        <v>0.02</v>
      </c>
      <c r="C4" s="28" t="inlineStr">
        <is>
          <t>—</t>
        </is>
      </c>
      <c r="D4" s="28" t="inlineStr">
        <is>
          <t>D-035</t>
        </is>
      </c>
    </row>
    <row r="5" ht="15" customHeight="1" s="22">
      <c r="A5" s="28" t="inlineStr">
        <is>
          <t>Margine volume serbatoio</t>
        </is>
      </c>
      <c r="B5" s="29" t="n">
        <v>0.1</v>
      </c>
      <c r="C5" s="28" t="inlineStr">
        <is>
          <t>—</t>
        </is>
      </c>
      <c r="D5" s="28" t="inlineStr">
        <is>
          <t>D-035</t>
        </is>
      </c>
    </row>
    <row r="6" ht="15" customHeight="1" s="22">
      <c r="A6" s="28" t="inlineStr">
        <is>
          <t>Margine RAM / uso massimo processore</t>
        </is>
      </c>
      <c r="B6" s="29" t="n">
        <v>0.5</v>
      </c>
      <c r="C6" s="28" t="inlineStr">
        <is>
          <t>—</t>
        </is>
      </c>
      <c r="D6" s="28" t="inlineStr">
        <is>
          <t>D-035</t>
        </is>
      </c>
    </row>
    <row r="7" ht="15" customHeight="1" s="22">
      <c r="A7" s="28" t="inlineStr">
        <is>
          <t>Obiettivo di massa al rilascio</t>
        </is>
      </c>
      <c r="B7" s="30" t="n">
        <v>32</v>
      </c>
      <c r="C7" s="28" t="inlineStr">
        <is>
          <t>kg</t>
        </is>
      </c>
      <c r="D7" s="28" t="inlineStr">
        <is>
          <t>D-036</t>
        </is>
      </c>
    </row>
    <row r="8" ht="15" customHeight="1" s="22">
      <c r="A8" s="28" t="inlineStr">
        <is>
          <t>Massimo di massa al rilascio</t>
        </is>
      </c>
      <c r="B8" s="30" t="n">
        <v>36</v>
      </c>
      <c r="C8" s="28" t="inlineStr">
        <is>
          <t>kg</t>
        </is>
      </c>
      <c r="D8" s="28" t="inlineStr">
        <is>
          <t>D-036 (EXOpod Nova, SMPOD16C)</t>
        </is>
      </c>
    </row>
    <row r="9" ht="15" customHeight="1" s="22">
      <c r="A9" s="28" t="inlineStr">
        <is>
          <t>Involucro binari X</t>
        </is>
      </c>
      <c r="B9" s="30" t="n">
        <v>226.3</v>
      </c>
      <c r="C9" s="28" t="inlineStr">
        <is>
          <t>mm</t>
        </is>
      </c>
      <c r="D9" s="28" t="inlineStr">
        <is>
          <t>D-036 (manuale EXOpod Nova 03/2024)</t>
        </is>
      </c>
    </row>
    <row r="10" ht="15" customHeight="1" s="22">
      <c r="A10" s="28" t="inlineStr">
        <is>
          <t>Involucro binari Y</t>
        </is>
      </c>
      <c r="B10" s="30" t="n">
        <v>226.3</v>
      </c>
      <c r="C10" s="28" t="inlineStr">
        <is>
          <t>mm</t>
        </is>
      </c>
      <c r="D10" s="28" t="inlineStr">
        <is>
          <t>D-036</t>
        </is>
      </c>
    </row>
    <row r="11" ht="15" customHeight="1" s="22">
      <c r="A11" s="28" t="inlineStr">
        <is>
          <t>Involucro binari Z</t>
        </is>
      </c>
      <c r="B11" s="30" t="n">
        <v>454</v>
      </c>
      <c r="C11" s="28" t="inlineStr">
        <is>
          <t>mm</t>
        </is>
      </c>
      <c r="D11" s="28" t="inlineStr">
        <is>
          <t>D-036</t>
        </is>
      </c>
    </row>
    <row r="12" ht="15" customHeight="1" s="22">
      <c r="A12" s="28" t="inlineStr">
        <is>
          <t>Sporgenza massima laterale</t>
        </is>
      </c>
      <c r="B12" s="30" t="n">
        <v>39.5</v>
      </c>
      <c r="C12" s="28" t="inlineStr">
        <is>
          <t>mm</t>
        </is>
      </c>
      <c r="D12" s="28" t="inlineStr">
        <is>
          <t>D-036 (da usare solo se necessario)</t>
        </is>
      </c>
    </row>
    <row r="13" ht="15" customHeight="1" s="22">
      <c r="A13" s="28" t="inlineStr">
        <is>
          <t>Baricentro, scostamento max X / Y</t>
        </is>
      </c>
      <c r="B13" s="30" t="n">
        <v>45</v>
      </c>
      <c r="C13" s="28" t="inlineStr">
        <is>
          <t>mm</t>
        </is>
      </c>
      <c r="D13" s="28" t="inlineStr">
        <is>
          <t>DR-14</t>
        </is>
      </c>
    </row>
    <row r="14" ht="15" customHeight="1" s="22">
      <c r="A14" s="28" t="inlineStr">
        <is>
          <t>Baricentro, scostamento max Z</t>
        </is>
      </c>
      <c r="B14" s="30" t="n">
        <v>90</v>
      </c>
      <c r="C14" s="28" t="inlineStr">
        <is>
          <t>mm</t>
        </is>
      </c>
      <c r="D14" s="28" t="inlineStr">
        <is>
          <t>DR-14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1" min="1" max="1"/>
    <col width="15" customWidth="1" style="21" min="2" max="2"/>
    <col width="36" customWidth="1" style="21" min="3" max="3"/>
    <col width="10" customWidth="1" style="21" min="4" max="4"/>
    <col width="6" customWidth="1" style="21" min="5" max="5"/>
    <col width="12" customWidth="1" style="21" min="6" max="7"/>
    <col width="16" customWidth="1" style="21" min="8" max="8"/>
    <col width="9" customWidth="1" style="21" min="9" max="9"/>
    <col width="12" customWidth="1" style="21" min="10" max="10"/>
    <col width="11" customWidth="1" style="21" min="11" max="11"/>
    <col width="16" customWidth="1" style="21" min="12" max="12"/>
    <col width="50" customWidth="1" style="21" min="13" max="13"/>
  </cols>
  <sheetData>
    <row r="1" ht="46.25" customHeight="1" s="22">
      <c r="A1" s="27" t="inlineStr">
        <is>
          <t>ID</t>
        </is>
      </c>
      <c r="B1" s="27" t="inlineStr">
        <is>
          <t>Sottosistema</t>
        </is>
      </c>
      <c r="C1" s="27" t="inlineStr">
        <is>
          <t>Voce</t>
        </is>
      </c>
      <c r="D1" s="27" t="inlineStr">
        <is>
          <t>Resp.</t>
        </is>
      </c>
      <c r="E1" s="27" t="inlineStr">
        <is>
          <t>Q.tà</t>
        </is>
      </c>
      <c r="F1" s="27" t="inlineStr">
        <is>
          <t>Massa unitaria nominale (kg)</t>
        </is>
      </c>
      <c r="G1" s="27" t="inlineStr">
        <is>
          <t>Massa nominale (kg)</t>
        </is>
      </c>
      <c r="H1" s="27" t="inlineStr">
        <is>
          <t>Maturità</t>
        </is>
      </c>
      <c r="I1" s="27" t="inlineStr">
        <is>
          <t>Margine voce</t>
        </is>
      </c>
      <c r="J1" s="27" t="inlineStr">
        <is>
          <t>Massa con margine (kg)</t>
        </is>
      </c>
      <c r="K1" s="27" t="inlineStr">
        <is>
          <t>Origine</t>
        </is>
      </c>
      <c r="L1" s="27" t="inlineStr">
        <is>
          <t>Riferimento</t>
        </is>
      </c>
      <c r="M1" s="27" t="inlineStr">
        <is>
          <t>Note</t>
        </is>
      </c>
    </row>
    <row r="2" ht="15" customHeight="1" s="22">
      <c r="A2" s="28" t="inlineStr">
        <is>
          <t>M-01</t>
        </is>
      </c>
      <c r="B2" s="28" t="inlineStr">
        <is>
          <t>ADCS / GNC</t>
        </is>
      </c>
      <c r="C2" s="28" t="inlineStr">
        <is>
          <t>Ruote di reazione (4 in piramide, classe 0,1 N·m·s)</t>
        </is>
      </c>
      <c r="D2" s="30" t="inlineStr">
        <is>
          <t>Giuliano</t>
        </is>
      </c>
      <c r="E2" s="30" t="n">
        <v>4</v>
      </c>
      <c r="F2" s="31" t="n">
        <v>0.33</v>
      </c>
      <c r="G2" s="32">
        <f>IF(OR(E2="",F2=""),"",E2*F2)</f>
        <v/>
      </c>
      <c r="H2" s="30" t="inlineStr">
        <is>
          <t>Catalogo</t>
        </is>
      </c>
      <c r="I2" s="33">
        <f>IF(H2="","",INDEX(Liste!$B$2:$B$4,MATCH(H2,Liste!$A$2:$A$4,0)))</f>
        <v/>
      </c>
      <c r="J2" s="32">
        <f>IF(OR(G2="",I2=""),"",G2*(1+I2))</f>
        <v/>
      </c>
      <c r="K2" s="30" t="inlineStr">
        <is>
          <t>Datasheet</t>
        </is>
      </c>
      <c r="L2" s="30" t="inlineStr">
        <is>
          <t>D-048</t>
        </is>
      </c>
      <c r="M2" s="30" t="inlineStr">
        <is>
          <t>BCT RWp100 (dati indicativi del costruttore). Alternativa W4: 4 × RW-0.06 da 0,233 kg</t>
        </is>
      </c>
    </row>
    <row r="3" ht="15" customHeight="1" s="22">
      <c r="A3" s="28" t="inlineStr">
        <is>
          <t>M-02</t>
        </is>
      </c>
      <c r="B3" s="28" t="inlineStr">
        <is>
          <t>ADCS / GNC</t>
        </is>
      </c>
      <c r="C3" s="28" t="inlineStr">
        <is>
          <t>Star tracker (2 teste, classe ST-16RT2)</t>
        </is>
      </c>
      <c r="D3" s="30" t="inlineStr">
        <is>
          <t>Giuliano</t>
        </is>
      </c>
      <c r="E3" s="30" t="n">
        <v>2</v>
      </c>
      <c r="F3" s="31" t="n">
        <v>0.235</v>
      </c>
      <c r="G3" s="32">
        <f>IF(OR(E3="",F3=""),"",E3*F3)</f>
        <v/>
      </c>
      <c r="H3" s="30" t="inlineStr">
        <is>
          <t>Catalogo</t>
        </is>
      </c>
      <c r="I3" s="33">
        <f>IF(H3="","",INDEX(Liste!$B$2:$B$4,MATCH(H3,Liste!$A$2:$A$4,0)))</f>
        <v/>
      </c>
      <c r="J3" s="32">
        <f>IF(OR(G3="",I3=""),"",G3*(1+I3))</f>
        <v/>
      </c>
      <c r="K3" s="30" t="inlineStr">
        <is>
          <t>Datasheet</t>
        </is>
      </c>
      <c r="L3" s="30" t="inlineStr">
        <is>
          <t>D-051</t>
        </is>
      </c>
      <c r="M3" s="30" t="inlineStr">
        <is>
          <t>Rocket Lab ST-16RT2 con paraluce grande (158 g senza, 185 g corto, 235 g grande): valore prudente</t>
        </is>
      </c>
    </row>
    <row r="4" ht="15" customHeight="1" s="22">
      <c r="A4" s="28" t="inlineStr">
        <is>
          <t>M-03</t>
        </is>
      </c>
      <c r="B4" s="28" t="inlineStr">
        <is>
          <t>ADCS / GNC</t>
        </is>
      </c>
      <c r="C4" s="28" t="inlineStr">
        <is>
          <t>Giroscopio / IMU (classe GY2, inviluppo GY3)</t>
        </is>
      </c>
      <c r="D4" s="30" t="inlineStr">
        <is>
          <t>Giuliano</t>
        </is>
      </c>
      <c r="E4" s="30" t="n">
        <v>1</v>
      </c>
      <c r="F4" s="31" t="n">
        <v>0.7</v>
      </c>
      <c r="G4" s="32">
        <f>IF(OR(E4="",F4=""),"",E4*F4)</f>
        <v/>
      </c>
      <c r="H4" s="30" t="inlineStr">
        <is>
          <t>Catalogo</t>
        </is>
      </c>
      <c r="I4" s="33">
        <f>IF(H4="","",INDEX(Liste!$B$2:$B$4,MATCH(H4,Liste!$A$2:$A$4,0)))</f>
        <v/>
      </c>
      <c r="J4" s="32">
        <f>IF(OR(G4="",I4=""),"",G4*(1+I4))</f>
        <v/>
      </c>
      <c r="K4" s="30" t="inlineStr">
        <is>
          <t>Datasheet</t>
        </is>
      </c>
      <c r="L4" s="30" t="inlineStr">
        <is>
          <t>D-050</t>
        </is>
      </c>
      <c r="M4" s="30" t="inlineStr">
        <is>
          <t>Inviluppo KVH 1750 (0,7 kg max). Riferimento di prestazione 3 × CRH03: massa da datasheet completo</t>
        </is>
      </c>
    </row>
    <row r="5" ht="15" customHeight="1" s="22">
      <c r="A5" s="28" t="inlineStr">
        <is>
          <t>M-04</t>
        </is>
      </c>
      <c r="B5" s="28" t="inlineStr">
        <is>
          <t>ADCS / GNC</t>
        </is>
      </c>
      <c r="C5" s="28" t="inlineStr">
        <is>
          <t>Magnetorquer (3 barre, ≥ 2,5 A·m²)</t>
        </is>
      </c>
      <c r="D5" s="30" t="inlineStr">
        <is>
          <t>Giuliano</t>
        </is>
      </c>
      <c r="E5" s="30" t="n">
        <v>3</v>
      </c>
      <c r="F5" s="31" t="n">
        <v>0.2</v>
      </c>
      <c r="G5" s="32">
        <f>IF(OR(E5="",F5=""),"",E5*F5)</f>
        <v/>
      </c>
      <c r="H5" s="30" t="inlineStr">
        <is>
          <t>Catalogo modificato</t>
        </is>
      </c>
      <c r="I5" s="33">
        <f>IF(H5="","",INDEX(Liste!$B$2:$B$4,MATCH(H5,Liste!$A$2:$A$4,0)))</f>
        <v/>
      </c>
      <c r="J5" s="32">
        <f>IF(OR(G5="",I5=""),"",G5*(1+I5))</f>
        <v/>
      </c>
      <c r="K5" s="30" t="inlineStr">
        <is>
          <t>Stima</t>
        </is>
      </c>
      <c r="L5" s="30" t="inlineStr">
        <is>
          <t>D-049</t>
        </is>
      </c>
      <c r="M5" s="30" t="inlineStr">
        <is>
          <t>Massa prudente di classe (ZARM MT2-1 0,2 kg; CubeSpace CR0020 2,0 A·m² 54 g). Da confermare con l'unità scelta</t>
        </is>
      </c>
    </row>
    <row r="6" ht="15" customHeight="1" s="22">
      <c r="A6" s="28" t="inlineStr">
        <is>
          <t>M-05</t>
        </is>
      </c>
      <c r="B6" s="28" t="inlineStr">
        <is>
          <t>ADCS / GNC</t>
        </is>
      </c>
      <c r="C6" s="28" t="inlineStr">
        <is>
          <t>Magnetometro a 3 assi</t>
        </is>
      </c>
      <c r="D6" s="30" t="inlineStr">
        <is>
          <t>Giuliano</t>
        </is>
      </c>
      <c r="E6" s="30" t="n">
        <v>1</v>
      </c>
      <c r="F6" s="31" t="n">
        <v>0.08500000000000001</v>
      </c>
      <c r="G6" s="32">
        <f>IF(OR(E6="",F6=""),"",E6*F6)</f>
        <v/>
      </c>
      <c r="H6" s="30" t="inlineStr">
        <is>
          <t>Catalogo</t>
        </is>
      </c>
      <c r="I6" s="33">
        <f>IF(H6="","",INDEX(Liste!$B$2:$B$4,MATCH(H6,Liste!$A$2:$A$4,0)))</f>
        <v/>
      </c>
      <c r="J6" s="32">
        <f>IF(OR(G6="",I6=""),"",G6*(1+I6))</f>
        <v/>
      </c>
      <c r="K6" s="30" t="inlineStr">
        <is>
          <t>Datasheet</t>
        </is>
      </c>
      <c r="L6" s="30" t="inlineStr">
        <is>
          <t>A5.3 f)</t>
        </is>
      </c>
      <c r="M6" s="30" t="inlineStr">
        <is>
          <t>Classe NewSpace NMRM (±60 µT, &lt; 8 nT, 85 g)</t>
        </is>
      </c>
    </row>
    <row r="7" ht="15" customHeight="1" s="22">
      <c r="A7" s="28" t="inlineStr">
        <is>
          <t>M-06</t>
        </is>
      </c>
      <c r="B7" s="28" t="inlineStr">
        <is>
          <t>ADCS / GNC</t>
        </is>
      </c>
      <c r="C7" s="28" t="inlineStr">
        <is>
          <t>Sensori solari grossolani (6 facce)</t>
        </is>
      </c>
      <c r="D7" s="30" t="inlineStr">
        <is>
          <t>Giuliano</t>
        </is>
      </c>
      <c r="E7" s="30" t="n">
        <v>6</v>
      </c>
      <c r="F7" s="31" t="n">
        <v>0.035</v>
      </c>
      <c r="G7" s="32">
        <f>IF(OR(E7="",F7=""),"",E7*F7)</f>
        <v/>
      </c>
      <c r="H7" s="30" t="inlineStr">
        <is>
          <t>Catalogo</t>
        </is>
      </c>
      <c r="I7" s="33">
        <f>IF(H7="","",INDEX(Liste!$B$2:$B$4,MATCH(H7,Liste!$A$2:$A$4,0)))</f>
        <v/>
      </c>
      <c r="J7" s="32">
        <f>IF(OR(G7="",I7=""),"",G7*(1+I7))</f>
        <v/>
      </c>
      <c r="K7" s="30" t="inlineStr">
        <is>
          <t>Datasheet</t>
        </is>
      </c>
      <c r="L7" s="30" t="inlineStr">
        <is>
          <t>A5.3 f)</t>
        </is>
      </c>
      <c r="M7" s="30" t="inlineStr">
        <is>
          <t>Classe NewSpace NCSS-SA05 / NFSS-411: si usa la massa più alta delle due (abbinamento valori-modelli incerto nella fonte)</t>
        </is>
      </c>
    </row>
    <row r="8" ht="15" customHeight="1" s="22">
      <c r="A8" s="28" t="inlineStr">
        <is>
          <t>M-07</t>
        </is>
      </c>
      <c r="B8" s="28" t="inlineStr">
        <is>
          <t>ADCS / GNC</t>
        </is>
      </c>
      <c r="C8" s="28" t="inlineStr">
        <is>
          <t>Ricevitore GNSS + antenna (con PPS)</t>
        </is>
      </c>
      <c r="D8" s="30" t="inlineStr">
        <is>
          <t>Giuliano</t>
        </is>
      </c>
      <c r="E8" s="30" t="n">
        <v>1</v>
      </c>
      <c r="F8" s="31" t="n">
        <v>0.075</v>
      </c>
      <c r="G8" s="32">
        <f>IF(OR(E8="",F8=""),"",E8*F8)</f>
        <v/>
      </c>
      <c r="H8" s="30" t="inlineStr">
        <is>
          <t>Catalogo modificato</t>
        </is>
      </c>
      <c r="I8" s="33">
        <f>IF(H8="","",INDEX(Liste!$B$2:$B$4,MATCH(H8,Liste!$A$2:$A$4,0)))</f>
        <v/>
      </c>
      <c r="J8" s="32">
        <f>IF(OR(G8="",I8=""),"",G8*(1+I8))</f>
        <v/>
      </c>
      <c r="K8" s="30" t="inlineStr">
        <is>
          <t>Stima</t>
        </is>
      </c>
      <c r="L8" s="30" t="inlineStr">
        <is>
          <t>DR-17</t>
        </is>
      </c>
      <c r="M8" s="30" t="inlineStr">
        <is>
          <t>Ricevitore classe SkyFox piNAV-NG 24 g (datasheet) + antenna ~50 g (stima). PPS da verificare</t>
        </is>
      </c>
    </row>
    <row r="9" ht="35.05" customHeight="1" s="22">
      <c r="A9" s="28" t="inlineStr">
        <is>
          <t>M-08</t>
        </is>
      </c>
      <c r="B9" s="28" t="inlineStr">
        <is>
          <t>Propulsione</t>
        </is>
      </c>
      <c r="C9" s="28" t="inlineStr">
        <is>
          <t>Unità REGULUS-50-I2 Large (a pieno carico di iodio)</t>
        </is>
      </c>
      <c r="D9" s="30" t="inlineStr">
        <is>
          <t>Giuliano</t>
        </is>
      </c>
      <c r="E9" s="30" t="n">
        <v>1</v>
      </c>
      <c r="F9" s="31" t="n">
        <v>6</v>
      </c>
      <c r="G9" s="32">
        <f>IF(OR(E9="",F9=""),"",E9*F9)</f>
        <v/>
      </c>
      <c r="H9" s="30" t="inlineStr">
        <is>
          <t>Catalogo</t>
        </is>
      </c>
      <c r="I9" s="33">
        <f>IF(H9="","",INDEX(Liste!$B$2:$B$4,MATCH(H9,Liste!$A$2:$A$4,0)))</f>
        <v/>
      </c>
      <c r="J9" s="32">
        <f>IF(OR(G9="",I9=""),"",G9*(1+I9))</f>
        <v/>
      </c>
      <c r="K9" s="30" t="inlineStr">
        <is>
          <t>Datasheet</t>
        </is>
      </c>
      <c r="L9" s="30" t="inlineStr">
        <is>
          <t>D-034</t>
        </is>
      </c>
      <c r="M9" s="30" t="inlineStr">
        <is>
          <t>Valore prudente T4I (l'altra tabella dà 5,1 kg). Include ~2,0 kg di capacità di iodio: margine voce e di sistema applicati anche al propellente (prudente)</t>
        </is>
      </c>
    </row>
    <row r="10" ht="15" customHeight="1" s="22">
      <c r="A10" s="28" t="inlineStr">
        <is>
          <t>M-09</t>
        </is>
      </c>
      <c r="B10" s="28" t="inlineStr">
        <is>
          <t>TT&amp;C</t>
        </is>
      </c>
      <c r="C10" s="28" t="inlineStr">
        <is>
          <t>Radio TT&amp;C: ricetrasmettitore S (classe XLink-S) + radio VHF/UHF di riserva (classe ISIS)</t>
        </is>
      </c>
      <c r="D10" s="30" t="inlineStr">
        <is>
          <t>Giuliano</t>
        </is>
      </c>
      <c r="E10" s="30" t="n">
        <v>1</v>
      </c>
      <c r="F10" s="31" t="n">
        <v>0.275</v>
      </c>
      <c r="G10" s="32">
        <f>IF(OR(E10="",F10=""),"",E10*F10)</f>
        <v/>
      </c>
      <c r="H10" s="30" t="inlineStr">
        <is>
          <t>Catalogo modificato</t>
        </is>
      </c>
      <c r="I10" s="33">
        <f>IF(H10="","",INDEX(Liste!$B$2:$B$4,MATCH(H10,Liste!$A$2:$A$4,0)))</f>
        <v/>
      </c>
      <c r="J10" s="32">
        <f>IF(OR(G10="",I10=""),"",G10*(1+I10))</f>
        <v/>
      </c>
      <c r="K10" s="30" t="inlineStr">
        <is>
          <t>Datasheet</t>
        </is>
      </c>
      <c r="L10" s="30" t="inlineStr">
        <is>
          <t>D-082, D-084</t>
        </is>
      </c>
      <c r="M10" s="30" t="inlineStr">
        <is>
          <t>XLink-S 0,200 kg (&lt; 0,2U) + ISIS VHF/UHF 0,075 kg (90 × 96 × 15 mm). Margine 10%: eredità di volo XLink-S da verificare (R-46). Ripiego R1 (ISIS TXS2 + ricevitore) 0,217 kg</t>
        </is>
      </c>
    </row>
    <row r="11" ht="15" customHeight="1" s="22">
      <c r="A11" s="28" t="inlineStr">
        <is>
          <t>M-10</t>
        </is>
      </c>
      <c r="B11" s="28" t="inlineStr">
        <is>
          <t>TT&amp;C</t>
        </is>
      </c>
      <c r="C11" s="28" t="inlineStr">
        <is>
          <t>Antenne TT&amp;C: 2 patch S (nadir compatta + zenit) + antenna VHF/UHF dispiegabile</t>
        </is>
      </c>
      <c r="D11" s="30" t="inlineStr">
        <is>
          <t>Giuliano</t>
        </is>
      </c>
      <c r="E11" s="30" t="n">
        <v>1</v>
      </c>
      <c r="F11" s="31" t="n">
        <v>0.189</v>
      </c>
      <c r="G11" s="32">
        <f>IF(OR(E11="",F11=""),"",E11*F11)</f>
        <v/>
      </c>
      <c r="H11" s="30" t="inlineStr">
        <is>
          <t>Catalogo modificato</t>
        </is>
      </c>
      <c r="I11" s="33">
        <f>IF(H11="","",INDEX(Liste!$B$2:$B$4,MATCH(H11,Liste!$A$2:$A$4,0)))</f>
        <v/>
      </c>
      <c r="J11" s="32">
        <f>IF(OR(G11="",I11=""),"",G11*(1+I11))</f>
        <v/>
      </c>
      <c r="K11" s="30" t="inlineStr">
        <is>
          <t>Datasheet</t>
        </is>
      </c>
      <c r="L11" s="30" t="inlineStr">
        <is>
          <t>D-068, D-080, D-082</t>
        </is>
      </c>
      <c r="M11" s="30" t="inlineStr">
        <is>
          <t>2 × patch S &lt; 0,050 kg (ISIS; la patch a nadir compatta ≤ 60 mm è TBC, D-080) + ISIS AntS 0,089 kg. Cavi RF nei cablaggi (M-25)</t>
        </is>
      </c>
    </row>
    <row r="12" ht="15" customHeight="1" s="22">
      <c r="A12" s="28" t="inlineStr">
        <is>
          <t>M-11</t>
        </is>
      </c>
      <c r="B12" s="28" t="inlineStr">
        <is>
          <t>Payload</t>
        </is>
      </c>
      <c r="C12" s="28" t="inlineStr">
        <is>
          <t>Telescopio TMA (specchi + struttura ottica)</t>
        </is>
      </c>
      <c r="D12" s="30" t="inlineStr">
        <is>
          <t>Giuseppe</t>
        </is>
      </c>
      <c r="E12" s="30" t="n">
        <v>1</v>
      </c>
      <c r="F12" s="31" t="n"/>
      <c r="G12" s="32">
        <f>IF(OR(E12="",F12=""),"",E12*F12)</f>
        <v/>
      </c>
      <c r="H12" s="30" t="n"/>
      <c r="I12" s="33">
        <f>IF(H12="","",INDEX(Liste!$B$2:$B$4,MATCH(H12,Liste!$A$2:$A$4,0)))</f>
        <v/>
      </c>
      <c r="J12" s="32">
        <f>IF(OR(G12="",I12=""),"",G12*(1+I12))</f>
        <v/>
      </c>
      <c r="K12" s="30" t="inlineStr">
        <is>
          <t>TBD</t>
        </is>
      </c>
      <c r="L12" s="30" t="n"/>
      <c r="M12" s="30" t="n"/>
    </row>
    <row r="13" ht="15" customHeight="1" s="22">
      <c r="A13" s="28" t="inlineStr">
        <is>
          <t>M-12</t>
        </is>
      </c>
      <c r="B13" s="28" t="inlineStr">
        <is>
          <t>Payload</t>
        </is>
      </c>
      <c r="C13" s="28" t="inlineStr">
        <is>
          <t>Sensore diurno CMOS + elettronica</t>
        </is>
      </c>
      <c r="D13" s="30" t="inlineStr">
        <is>
          <t>Giuseppe</t>
        </is>
      </c>
      <c r="E13" s="30" t="n">
        <v>1</v>
      </c>
      <c r="F13" s="31" t="n"/>
      <c r="G13" s="32">
        <f>IF(OR(E13="",F13=""),"",E13*F13)</f>
        <v/>
      </c>
      <c r="H13" s="30" t="n"/>
      <c r="I13" s="33">
        <f>IF(H13="","",INDEX(Liste!$B$2:$B$4,MATCH(H13,Liste!$A$2:$A$4,0)))</f>
        <v/>
      </c>
      <c r="J13" s="32">
        <f>IF(OR(G13="",I13=""),"",G13*(1+I13))</f>
        <v/>
      </c>
      <c r="K13" s="30" t="inlineStr">
        <is>
          <t>TBD</t>
        </is>
      </c>
      <c r="L13" s="30" t="n"/>
      <c r="M13" s="30" t="n"/>
    </row>
    <row r="14" ht="15" customHeight="1" s="22">
      <c r="A14" s="28" t="inlineStr">
        <is>
          <t>M-13</t>
        </is>
      </c>
      <c r="B14" s="28" t="inlineStr">
        <is>
          <t>Payload</t>
        </is>
      </c>
      <c r="C14" s="28" t="inlineStr">
        <is>
          <t>Sensore notturno sCMOS + elettronica</t>
        </is>
      </c>
      <c r="D14" s="30" t="inlineStr">
        <is>
          <t>Giuseppe</t>
        </is>
      </c>
      <c r="E14" s="30" t="n">
        <v>1</v>
      </c>
      <c r="F14" s="31" t="n"/>
      <c r="G14" s="32">
        <f>IF(OR(E14="",F14=""),"",E14*F14)</f>
        <v/>
      </c>
      <c r="H14" s="30" t="n"/>
      <c r="I14" s="33">
        <f>IF(H14="","",INDEX(Liste!$B$2:$B$4,MATCH(H14,Liste!$A$2:$A$4,0)))</f>
        <v/>
      </c>
      <c r="J14" s="32">
        <f>IF(OR(G14="",I14=""),"",G14*(1+I14))</f>
        <v/>
      </c>
      <c r="K14" s="30" t="inlineStr">
        <is>
          <t>TBD</t>
        </is>
      </c>
      <c r="L14" s="30" t="n"/>
      <c r="M14" s="30" t="n"/>
    </row>
    <row r="15" ht="15" customHeight="1" s="22">
      <c r="A15" s="28" t="inlineStr">
        <is>
          <t>M-14</t>
        </is>
      </c>
      <c r="B15" s="28" t="inlineStr">
        <is>
          <t>Payload</t>
        </is>
      </c>
      <c r="C15" s="28" t="inlineStr">
        <is>
          <t>Deflettori / coperchio apertura</t>
        </is>
      </c>
      <c r="D15" s="30" t="inlineStr">
        <is>
          <t>Giuseppe</t>
        </is>
      </c>
      <c r="E15" s="30" t="n"/>
      <c r="F15" s="31" t="n"/>
      <c r="G15" s="32">
        <f>IF(OR(E15="",F15=""),"",E15*F15)</f>
        <v/>
      </c>
      <c r="H15" s="30" t="n"/>
      <c r="I15" s="33">
        <f>IF(H15="","",INDEX(Liste!$B$2:$B$4,MATCH(H15,Liste!$A$2:$A$4,0)))</f>
        <v/>
      </c>
      <c r="J15" s="32">
        <f>IF(OR(G15="",I15=""),"",G15*(1+I15))</f>
        <v/>
      </c>
      <c r="K15" s="30" t="inlineStr">
        <is>
          <t>TBD</t>
        </is>
      </c>
      <c r="L15" s="30" t="n"/>
      <c r="M15" s="30" t="n"/>
    </row>
    <row r="16" ht="15" customHeight="1" s="22">
      <c r="A16" s="28" t="inlineStr">
        <is>
          <t>M-15</t>
        </is>
      </c>
      <c r="B16" s="28" t="inlineStr">
        <is>
          <t>Elaborazione</t>
        </is>
      </c>
      <c r="C16" s="28" t="inlineStr">
        <is>
          <t>Scheda AI / elaborazione payload</t>
        </is>
      </c>
      <c r="D16" s="30" t="inlineStr">
        <is>
          <t>Giuseppe</t>
        </is>
      </c>
      <c r="E16" s="30" t="n">
        <v>1</v>
      </c>
      <c r="F16" s="31" t="n"/>
      <c r="G16" s="32">
        <f>IF(OR(E16="",F16=""),"",E16*F16)</f>
        <v/>
      </c>
      <c r="H16" s="30" t="n"/>
      <c r="I16" s="33">
        <f>IF(H16="","",INDEX(Liste!$B$2:$B$4,MATCH(H16,Liste!$A$2:$A$4,0)))</f>
        <v/>
      </c>
      <c r="J16" s="32">
        <f>IF(OR(G16="",I16=""),"",G16*(1+I16))</f>
        <v/>
      </c>
      <c r="K16" s="30" t="inlineStr">
        <is>
          <t>TBD</t>
        </is>
      </c>
      <c r="L16" s="30" t="n"/>
      <c r="M16" s="30" t="n"/>
    </row>
    <row r="17" ht="15" customHeight="1" s="22">
      <c r="A17" s="28" t="inlineStr">
        <is>
          <t>M-16</t>
        </is>
      </c>
      <c r="B17" s="28" t="inlineStr">
        <is>
          <t>Elaborazione</t>
        </is>
      </c>
      <c r="C17" s="28" t="inlineStr">
        <is>
          <t>Memoria di massa</t>
        </is>
      </c>
      <c r="D17" s="30" t="inlineStr">
        <is>
          <t>Giuseppe</t>
        </is>
      </c>
      <c r="E17" s="30" t="n"/>
      <c r="F17" s="31" t="n"/>
      <c r="G17" s="32">
        <f>IF(OR(E17="",F17=""),"",E17*F17)</f>
        <v/>
      </c>
      <c r="H17" s="30" t="n"/>
      <c r="I17" s="33">
        <f>IF(H17="","",INDEX(Liste!$B$2:$B$4,MATCH(H17,Liste!$A$2:$A$4,0)))</f>
        <v/>
      </c>
      <c r="J17" s="32">
        <f>IF(OR(G17="",I17=""),"",G17*(1+I17))</f>
        <v/>
      </c>
      <c r="K17" s="30" t="inlineStr">
        <is>
          <t>TBD</t>
        </is>
      </c>
      <c r="L17" s="30" t="n"/>
      <c r="M17" s="30" t="n"/>
    </row>
    <row r="18" ht="15" customHeight="1" s="22">
      <c r="A18" s="28" t="inlineStr">
        <is>
          <t>M-17</t>
        </is>
      </c>
      <c r="B18" s="28" t="inlineStr">
        <is>
          <t>OBC</t>
        </is>
      </c>
      <c r="C18" s="28" t="inlineStr">
        <is>
          <t>Computer di bordo di piattaforma</t>
        </is>
      </c>
      <c r="D18" s="30" t="inlineStr">
        <is>
          <t>TBC</t>
        </is>
      </c>
      <c r="E18" s="30" t="n">
        <v>1</v>
      </c>
      <c r="F18" s="31" t="n"/>
      <c r="G18" s="32">
        <f>IF(OR(E18="",F18=""),"",E18*F18)</f>
        <v/>
      </c>
      <c r="H18" s="30" t="n"/>
      <c r="I18" s="33">
        <f>IF(H18="","",INDEX(Liste!$B$2:$B$4,MATCH(H18,Liste!$A$2:$A$4,0)))</f>
        <v/>
      </c>
      <c r="J18" s="32">
        <f>IF(OR(G18="",I18=""),"",G18*(1+I18))</f>
        <v/>
      </c>
      <c r="K18" s="30" t="inlineStr">
        <is>
          <t>TBD</t>
        </is>
      </c>
      <c r="L18" s="30" t="n"/>
      <c r="M18" s="30" t="n"/>
    </row>
    <row r="19" ht="15" customHeight="1" s="22">
      <c r="A19" s="28" t="inlineStr">
        <is>
          <t>M-18</t>
        </is>
      </c>
      <c r="B19" s="28" t="inlineStr">
        <is>
          <t>EPS</t>
        </is>
      </c>
      <c r="C19" s="28" t="inlineStr">
        <is>
          <t>Pannelli solari</t>
        </is>
      </c>
      <c r="D19" s="30" t="inlineStr">
        <is>
          <t>TBC</t>
        </is>
      </c>
      <c r="E19" s="30" t="n"/>
      <c r="F19" s="31" t="n"/>
      <c r="G19" s="32">
        <f>IF(OR(E19="",F19=""),"",E19*F19)</f>
        <v/>
      </c>
      <c r="H19" s="30" t="n"/>
      <c r="I19" s="33">
        <f>IF(H19="","",INDEX(Liste!$B$2:$B$4,MATCH(H19,Liste!$A$2:$A$4,0)))</f>
        <v/>
      </c>
      <c r="J19" s="32">
        <f>IF(OR(G19="",I19=""),"",G19*(1+I19))</f>
        <v/>
      </c>
      <c r="K19" s="30" t="inlineStr">
        <is>
          <t>TBD</t>
        </is>
      </c>
      <c r="L19" s="30" t="n"/>
      <c r="M19" s="30" t="n"/>
    </row>
    <row r="20" ht="15" customHeight="1" s="22">
      <c r="A20" s="28" t="inlineStr">
        <is>
          <t>M-19</t>
        </is>
      </c>
      <c r="B20" s="28" t="inlineStr">
        <is>
          <t>EPS</t>
        </is>
      </c>
      <c r="C20" s="28" t="inlineStr">
        <is>
          <t>Batterie</t>
        </is>
      </c>
      <c r="D20" s="30" t="inlineStr">
        <is>
          <t>TBC</t>
        </is>
      </c>
      <c r="E20" s="30" t="n"/>
      <c r="F20" s="31" t="n"/>
      <c r="G20" s="32">
        <f>IF(OR(E20="",F20=""),"",E20*F20)</f>
        <v/>
      </c>
      <c r="H20" s="30" t="n"/>
      <c r="I20" s="33">
        <f>IF(H20="","",INDEX(Liste!$B$2:$B$4,MATCH(H20,Liste!$A$2:$A$4,0)))</f>
        <v/>
      </c>
      <c r="J20" s="32">
        <f>IF(OR(G20="",I20=""),"",G20*(1+I20))</f>
        <v/>
      </c>
      <c r="K20" s="30" t="inlineStr">
        <is>
          <t>TBD</t>
        </is>
      </c>
      <c r="L20" s="30" t="n"/>
      <c r="M20" s="30" t="n"/>
    </row>
    <row r="21" ht="15" customHeight="1" s="22">
      <c r="A21" s="28" t="inlineStr">
        <is>
          <t>M-20</t>
        </is>
      </c>
      <c r="B21" s="28" t="inlineStr">
        <is>
          <t>EPS</t>
        </is>
      </c>
      <c r="C21" s="28" t="inlineStr">
        <is>
          <t>Distribuzione (PCDU)</t>
        </is>
      </c>
      <c r="D21" s="30" t="inlineStr">
        <is>
          <t>TBC</t>
        </is>
      </c>
      <c r="E21" s="30" t="n">
        <v>1</v>
      </c>
      <c r="F21" s="31" t="n"/>
      <c r="G21" s="32">
        <f>IF(OR(E21="",F21=""),"",E21*F21)</f>
        <v/>
      </c>
      <c r="H21" s="30" t="n"/>
      <c r="I21" s="33">
        <f>IF(H21="","",INDEX(Liste!$B$2:$B$4,MATCH(H21,Liste!$A$2:$A$4,0)))</f>
        <v/>
      </c>
      <c r="J21" s="32">
        <f>IF(OR(G21="",I21=""),"",G21*(1+I21))</f>
        <v/>
      </c>
      <c r="K21" s="30" t="inlineStr">
        <is>
          <t>TBD</t>
        </is>
      </c>
      <c r="L21" s="30" t="n"/>
      <c r="M21" s="30" t="n"/>
    </row>
    <row r="22" ht="15" customHeight="1" s="22">
      <c r="A22" s="28" t="inlineStr">
        <is>
          <t>M-21</t>
        </is>
      </c>
      <c r="B22" s="28" t="inlineStr">
        <is>
          <t>Struttura</t>
        </is>
      </c>
      <c r="C22" s="28" t="inlineStr">
        <is>
          <t>Telaio 16U</t>
        </is>
      </c>
      <c r="D22" s="30" t="inlineStr">
        <is>
          <t>TBC</t>
        </is>
      </c>
      <c r="E22" s="30" t="n">
        <v>1</v>
      </c>
      <c r="F22" s="31" t="n"/>
      <c r="G22" s="32">
        <f>IF(OR(E22="",F22=""),"",E22*F22)</f>
        <v/>
      </c>
      <c r="H22" s="30" t="n"/>
      <c r="I22" s="33">
        <f>IF(H22="","",INDEX(Liste!$B$2:$B$4,MATCH(H22,Liste!$A$2:$A$4,0)))</f>
        <v/>
      </c>
      <c r="J22" s="32">
        <f>IF(OR(G22="",I22=""),"",G22*(1+I22))</f>
        <v/>
      </c>
      <c r="K22" s="30" t="inlineStr">
        <is>
          <t>TBD</t>
        </is>
      </c>
      <c r="L22" s="30" t="n"/>
      <c r="M22" s="30" t="n"/>
    </row>
    <row r="23" ht="15" customHeight="1" s="22">
      <c r="A23" s="28" t="inlineStr">
        <is>
          <t>M-22</t>
        </is>
      </c>
      <c r="B23" s="28" t="inlineStr">
        <is>
          <t>Struttura</t>
        </is>
      </c>
      <c r="C23" s="28" t="inlineStr">
        <is>
          <t>Meccanismi (apertura pannelli)</t>
        </is>
      </c>
      <c r="D23" s="30" t="inlineStr">
        <is>
          <t>TBC</t>
        </is>
      </c>
      <c r="E23" s="30" t="n"/>
      <c r="F23" s="31" t="n"/>
      <c r="G23" s="32">
        <f>IF(OR(E23="",F23=""),"",E23*F23)</f>
        <v/>
      </c>
      <c r="H23" s="30" t="n"/>
      <c r="I23" s="33">
        <f>IF(H23="","",INDEX(Liste!$B$2:$B$4,MATCH(H23,Liste!$A$2:$A$4,0)))</f>
        <v/>
      </c>
      <c r="J23" s="32">
        <f>IF(OR(G23="",I23=""),"",G23*(1+I23))</f>
        <v/>
      </c>
      <c r="K23" s="30" t="inlineStr">
        <is>
          <t>TBD</t>
        </is>
      </c>
      <c r="L23" s="30" t="n"/>
      <c r="M23" s="30" t="n"/>
    </row>
    <row r="24" ht="15" customHeight="1" s="22">
      <c r="A24" s="28" t="inlineStr">
        <is>
          <t>M-23</t>
        </is>
      </c>
      <c r="B24" s="28" t="inlineStr">
        <is>
          <t>Termico</t>
        </is>
      </c>
      <c r="C24" s="28" t="inlineStr">
        <is>
          <t>Termico payload (riscaldatori, MLI)</t>
        </is>
      </c>
      <c r="D24" s="30" t="inlineStr">
        <is>
          <t>Giuseppe</t>
        </is>
      </c>
      <c r="E24" s="30" t="n"/>
      <c r="F24" s="31" t="n"/>
      <c r="G24" s="32">
        <f>IF(OR(E24="",F24=""),"",E24*F24)</f>
        <v/>
      </c>
      <c r="H24" s="30" t="n"/>
      <c r="I24" s="33">
        <f>IF(H24="","",INDEX(Liste!$B$2:$B$4,MATCH(H24,Liste!$A$2:$A$4,0)))</f>
        <v/>
      </c>
      <c r="J24" s="32">
        <f>IF(OR(G24="",I24=""),"",G24*(1+I24))</f>
        <v/>
      </c>
      <c r="K24" s="30" t="inlineStr">
        <is>
          <t>TBD</t>
        </is>
      </c>
      <c r="L24" s="30" t="n"/>
      <c r="M24" s="30" t="n"/>
    </row>
    <row r="25" ht="15" customHeight="1" s="22">
      <c r="A25" s="28" t="inlineStr">
        <is>
          <t>M-24</t>
        </is>
      </c>
      <c r="B25" s="28" t="inlineStr">
        <is>
          <t>Termico</t>
        </is>
      </c>
      <c r="C25" s="28" t="inlineStr">
        <is>
          <t>Termico piattaforma</t>
        </is>
      </c>
      <c r="D25" s="30" t="inlineStr">
        <is>
          <t>TBC</t>
        </is>
      </c>
      <c r="E25" s="30" t="n"/>
      <c r="F25" s="31" t="n"/>
      <c r="G25" s="32">
        <f>IF(OR(E25="",F25=""),"",E25*F25)</f>
        <v/>
      </c>
      <c r="H25" s="30" t="n"/>
      <c r="I25" s="33">
        <f>IF(H25="","",INDEX(Liste!$B$2:$B$4,MATCH(H25,Liste!$A$2:$A$4,0)))</f>
        <v/>
      </c>
      <c r="J25" s="32">
        <f>IF(OR(G25="",I25=""),"",G25*(1+I25))</f>
        <v/>
      </c>
      <c r="K25" s="30" t="inlineStr">
        <is>
          <t>TBD</t>
        </is>
      </c>
      <c r="L25" s="30" t="n"/>
      <c r="M25" s="30" t="n"/>
    </row>
    <row r="26" ht="23.85" customHeight="1" s="22">
      <c r="A26" s="28" t="inlineStr">
        <is>
          <t>M-25</t>
        </is>
      </c>
      <c r="B26" s="28" t="inlineStr">
        <is>
          <t>Cablaggi</t>
        </is>
      </c>
      <c r="C26" s="28" t="inlineStr">
        <is>
          <t>Cablaggi (quota della massa nominale)</t>
        </is>
      </c>
      <c r="D26" s="30" t="inlineStr">
        <is>
          <t>TBC</t>
        </is>
      </c>
      <c r="E26" s="28" t="n">
        <v>1</v>
      </c>
      <c r="F26" s="32">
        <f>Parametri!$B$3*SUM(G2:G25)</f>
        <v/>
      </c>
      <c r="G26" s="32">
        <f>E26*F26</f>
        <v/>
      </c>
      <c r="H26" s="30" t="inlineStr">
        <is>
          <t>Nuovo</t>
        </is>
      </c>
      <c r="I26" s="33">
        <f>IF(H26="","",INDEX(Liste!$B$2:$B$4,MATCH(H26,Liste!$A$2:$A$4,0)))</f>
        <v/>
      </c>
      <c r="J26" s="32">
        <f>G26*(1+I26)</f>
        <v/>
      </c>
      <c r="K26" s="28" t="inlineStr">
        <is>
          <t>Calcolo</t>
        </is>
      </c>
      <c r="L26" s="28" t="inlineStr">
        <is>
          <t>D-035</t>
        </is>
      </c>
      <c r="M26" s="28" t="inlineStr">
        <is>
          <t>Calcolata: 5% della somma delle masse nominali (regola ESA ≥ 5% della massa secca)</t>
        </is>
      </c>
    </row>
    <row r="28" ht="15" customHeight="1" s="22">
      <c r="A28" s="34" t="inlineStr">
        <is>
          <t>Somma masse nominali (kg)</t>
        </is>
      </c>
      <c r="B28" s="35">
        <f>SUM(G2:G26)</f>
        <v/>
      </c>
    </row>
    <row r="29" ht="15" customHeight="1" s="22">
      <c r="A29" s="34" t="inlineStr">
        <is>
          <t>Somma masse con margine voce (kg)</t>
        </is>
      </c>
      <c r="B29" s="35">
        <f>SUM(J2:J26)</f>
        <v/>
      </c>
    </row>
    <row r="30" ht="15" customHeight="1" s="22">
      <c r="A30" s="34" t="inlineStr">
        <is>
          <t>Margine di sistema (kg)</t>
        </is>
      </c>
      <c r="B30" s="35">
        <f>Parametri!$B$2*B29</f>
        <v/>
      </c>
    </row>
    <row r="31" ht="15" customHeight="1" s="22">
      <c r="A31" s="34" t="inlineStr">
        <is>
          <t>Massa al rilascio con margini (kg)</t>
        </is>
      </c>
      <c r="B31" s="35">
        <f>B29+B30</f>
        <v/>
      </c>
    </row>
    <row r="32" ht="15" customHeight="1" s="22">
      <c r="A32" s="34" t="inlineStr">
        <is>
          <t>Obiettivo (kg)</t>
        </is>
      </c>
      <c r="B32" s="35">
        <f>Parametri!$B$7</f>
        <v/>
      </c>
    </row>
    <row r="33" ht="15" customHeight="1" s="22">
      <c r="A33" s="34" t="inlineStr">
        <is>
          <t>Massimo (kg)</t>
        </is>
      </c>
      <c r="B33" s="35">
        <f>Parametri!$B$8</f>
        <v/>
      </c>
    </row>
    <row r="34" ht="15" customHeight="1" s="22">
      <c r="A34" s="34" t="inlineStr">
        <is>
          <t>Riserva verso l'obiettivo (kg)</t>
        </is>
      </c>
      <c r="B34" s="35">
        <f>B32-B31</f>
        <v/>
      </c>
    </row>
    <row r="35" ht="15" customHeight="1" s="22">
      <c r="A35" s="34" t="inlineStr">
        <is>
          <t>Riserva verso il massimo (kg)</t>
        </is>
      </c>
      <c r="B35" s="35">
        <f>B33-B31</f>
        <v/>
      </c>
    </row>
    <row r="36" ht="35.05" customHeight="1" s="22">
      <c r="A36" s="34" t="inlineStr">
        <is>
          <t>Esito</t>
        </is>
      </c>
      <c r="B36" s="35">
        <f>IF(COUNTIF(K2:K26,"TBD")&gt;0,"Budget incompleto ("&amp;COUNTIF(K2:K26,"TBD")&amp;" voci TBD)",IF(B31&lt;=B32,"Entro l'obiettivo",IF(B31&lt;=B33,"Sopra l'obiettivo: giustificare","Oltre il massimo")))</f>
        <v/>
      </c>
    </row>
    <row r="37" ht="15" customHeight="1" s="22">
      <c r="A37" s="34" t="inlineStr">
        <is>
          <t>Voci con responsabile TBC</t>
        </is>
      </c>
      <c r="B37" s="35">
        <f>COUNTIF(D2:D26,"TBC")</f>
        <v/>
      </c>
    </row>
  </sheetData>
  <dataValidations count="3">
    <dataValidation sqref="H2:H26" showDropDown="0" showInputMessage="0" showErrorMessage="0" allowBlank="1" type="list" errorStyle="stop" operator="between">
      <formula1>Liste!$A$2:$A$4</formula1>
      <formula2>0</formula2>
    </dataValidation>
    <dataValidation sqref="K2:K26" showDropDown="0" showInputMessage="0" showErrorMessage="0" allowBlank="1" type="list" errorStyle="stop" operator="between">
      <formula1>Liste!$C$2:$C$6</formula1>
      <formula2>0</formula2>
    </dataValidation>
    <dataValidation sqref="D2:D26" showDropDown="0" showInputMessage="0" showErrorMessage="0" allowBlank="1" type="list" errorStyle="stop" operator="between">
      <formula1>Liste!$D$2:$D$5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1" min="1" max="1"/>
    <col width="15" customWidth="1" style="21" min="2" max="2"/>
    <col width="34" customWidth="1" style="21" min="3" max="3"/>
    <col width="10" customWidth="1" style="21" min="4" max="4"/>
    <col width="11" customWidth="1" style="21" min="5" max="9"/>
    <col width="16" customWidth="1" style="21" min="10" max="10"/>
    <col width="9" customWidth="1" style="21" min="11" max="11"/>
    <col width="11" customWidth="1" style="21" min="12" max="12"/>
    <col width="14" customWidth="1" style="21" min="13" max="13"/>
    <col width="50" customWidth="1" style="21" min="14" max="14"/>
  </cols>
  <sheetData>
    <row r="1" ht="35.05" customHeight="1" s="22">
      <c r="A1" s="27" t="inlineStr">
        <is>
          <t>ID</t>
        </is>
      </c>
      <c r="B1" s="27" t="inlineStr">
        <is>
          <t>Sottosistema</t>
        </is>
      </c>
      <c r="C1" s="27" t="inlineStr">
        <is>
          <t>Voce</t>
        </is>
      </c>
      <c r="D1" s="27" t="inlineStr">
        <is>
          <t>Resp.</t>
        </is>
      </c>
      <c r="E1" s="27" t="inlineStr">
        <is>
          <t>Ripresa diurna (W nom.)</t>
        </is>
      </c>
      <c r="F1" s="27" t="inlineStr">
        <is>
          <t>Ripresa notturna (W nom.)</t>
        </is>
      </c>
      <c r="G1" s="27" t="inlineStr">
        <is>
          <t>Spinta (W nom.)</t>
        </is>
      </c>
      <c r="H1" s="27" t="inlineStr">
        <is>
          <t>Scarico dati (W nom.)</t>
        </is>
      </c>
      <c r="I1" s="27" t="inlineStr">
        <is>
          <t>Riposo / safe (W nom.)</t>
        </is>
      </c>
      <c r="J1" s="27" t="inlineStr">
        <is>
          <t>Maturità</t>
        </is>
      </c>
      <c r="K1" s="27" t="inlineStr">
        <is>
          <t>Margine voce</t>
        </is>
      </c>
      <c r="L1" s="27" t="inlineStr">
        <is>
          <t>Origine</t>
        </is>
      </c>
      <c r="M1" s="27" t="inlineStr">
        <is>
          <t>Riferimento</t>
        </is>
      </c>
      <c r="N1" s="27" t="inlineStr">
        <is>
          <t>Note</t>
        </is>
      </c>
    </row>
    <row r="2" ht="15" customHeight="1" s="22">
      <c r="A2" s="28" t="inlineStr">
        <is>
          <t>P-01</t>
        </is>
      </c>
      <c r="B2" s="28" t="inlineStr">
        <is>
          <t>ADCS / GNC</t>
        </is>
      </c>
      <c r="C2" s="28" t="inlineStr">
        <is>
          <t>Ruote di reazione (4 in piramide)</t>
        </is>
      </c>
      <c r="D2" s="30" t="inlineStr">
        <is>
          <t>Giuliano</t>
        </is>
      </c>
      <c r="E2" s="36" t="n">
        <v>4</v>
      </c>
      <c r="F2" s="36" t="n">
        <v>4</v>
      </c>
      <c r="G2" s="36" t="n">
        <v>4</v>
      </c>
      <c r="H2" s="36" t="n">
        <v>4</v>
      </c>
      <c r="I2" s="36" t="n">
        <v>4</v>
      </c>
      <c r="J2" s="30" t="inlineStr">
        <is>
          <t>Catalogo</t>
        </is>
      </c>
      <c r="K2" s="33">
        <f>IF(J2="","",INDEX(Liste!$B$2:$B$4,MATCH(J2,Liste!$A$2:$A$4,0)))</f>
        <v/>
      </c>
      <c r="L2" s="30" t="inlineStr">
        <is>
          <t>Datasheet</t>
        </is>
      </c>
      <c r="M2" s="30" t="inlineStr">
        <is>
          <t>D-048</t>
        </is>
      </c>
      <c r="N2" s="30" t="inlineStr">
        <is>
          <t>4 × BCT RWp100, &lt; 1 W ciascuna a regime. Picco 9 W per ruota in accelerazione (slew, rampe): da considerare nel profilo orbita per orbita (A5.6)</t>
        </is>
      </c>
    </row>
    <row r="3" ht="15" customHeight="1" s="22">
      <c r="A3" s="28" t="inlineStr">
        <is>
          <t>P-02</t>
        </is>
      </c>
      <c r="B3" s="28" t="inlineStr">
        <is>
          <t>ADCS / GNC</t>
        </is>
      </c>
      <c r="C3" s="28" t="inlineStr">
        <is>
          <t>Star tracker (2 teste)</t>
        </is>
      </c>
      <c r="D3" s="30" t="inlineStr">
        <is>
          <t>Giuliano</t>
        </is>
      </c>
      <c r="E3" s="36" t="n">
        <v>1</v>
      </c>
      <c r="F3" s="36" t="n">
        <v>1</v>
      </c>
      <c r="G3" s="36" t="n">
        <v>1</v>
      </c>
      <c r="H3" s="36" t="n">
        <v>1</v>
      </c>
      <c r="I3" s="36" t="n">
        <v>1</v>
      </c>
      <c r="J3" s="30" t="inlineStr">
        <is>
          <t>Catalogo</t>
        </is>
      </c>
      <c r="K3" s="33">
        <f>IF(J3="","",INDEX(Liste!$B$2:$B$4,MATCH(J3,Liste!$A$2:$A$4,0)))</f>
        <v/>
      </c>
      <c r="L3" s="30" t="inlineStr">
        <is>
          <t>Datasheet</t>
        </is>
      </c>
      <c r="M3" s="30" t="inlineStr">
        <is>
          <t>D-051</t>
        </is>
      </c>
      <c r="N3" s="30" t="inlineStr">
        <is>
          <t>2 × &lt; 0,5 W medi; picco 1 W ciascuno</t>
        </is>
      </c>
    </row>
    <row r="4" ht="15" customHeight="1" s="22">
      <c r="A4" s="28" t="inlineStr">
        <is>
          <t>P-03</t>
        </is>
      </c>
      <c r="B4" s="28" t="inlineStr">
        <is>
          <t>ADCS / GNC</t>
        </is>
      </c>
      <c r="C4" s="28" t="inlineStr">
        <is>
          <t>Giroscopio / IMU</t>
        </is>
      </c>
      <c r="D4" s="30" t="inlineStr">
        <is>
          <t>Giuliano</t>
        </is>
      </c>
      <c r="E4" s="36" t="n">
        <v>5</v>
      </c>
      <c r="F4" s="36" t="n">
        <v>5</v>
      </c>
      <c r="G4" s="36" t="n">
        <v>5</v>
      </c>
      <c r="H4" s="36" t="n">
        <v>5</v>
      </c>
      <c r="I4" s="36" t="n">
        <v>5</v>
      </c>
      <c r="J4" s="30" t="inlineStr">
        <is>
          <t>Catalogo</t>
        </is>
      </c>
      <c r="K4" s="33">
        <f>IF(J4="","",INDEX(Liste!$B$2:$B$4,MATCH(J4,Liste!$A$2:$A$4,0)))</f>
        <v/>
      </c>
      <c r="L4" s="30" t="inlineStr">
        <is>
          <t>Datasheet</t>
        </is>
      </c>
      <c r="M4" s="30" t="inlineStr">
        <is>
          <t>D-050</t>
        </is>
      </c>
      <c r="N4" s="30" t="inlineStr">
        <is>
          <t>Inviluppo KVH 1750 (5 W tipici, 8 W max)</t>
        </is>
      </c>
    </row>
    <row r="5" ht="15" customHeight="1" s="22">
      <c r="A5" s="28" t="inlineStr">
        <is>
          <t>P-04</t>
        </is>
      </c>
      <c r="B5" s="28" t="inlineStr">
        <is>
          <t>ADCS / GNC</t>
        </is>
      </c>
      <c r="C5" s="28" t="inlineStr">
        <is>
          <t>Magnetorquer (3 barre)</t>
        </is>
      </c>
      <c r="D5" s="30" t="inlineStr">
        <is>
          <t>Giuliano</t>
        </is>
      </c>
      <c r="E5" s="36" t="n">
        <v>0</v>
      </c>
      <c r="F5" s="36" t="n">
        <v>0</v>
      </c>
      <c r="G5" s="36" t="n">
        <v>3</v>
      </c>
      <c r="H5" s="36" t="n">
        <v>0</v>
      </c>
      <c r="I5" s="36" t="n">
        <v>3</v>
      </c>
      <c r="J5" s="30" t="inlineStr">
        <is>
          <t>Catalogo modificato</t>
        </is>
      </c>
      <c r="K5" s="33">
        <f>IF(J5="","",INDEX(Liste!$B$2:$B$4,MATCH(J5,Liste!$A$2:$A$4,0)))</f>
        <v/>
      </c>
      <c r="L5" s="30" t="inlineStr">
        <is>
          <t>Stima</t>
        </is>
      </c>
      <c r="M5" s="30" t="inlineStr">
        <is>
          <t>D-049</t>
        </is>
      </c>
      <c r="N5" s="30" t="inlineStr">
        <is>
          <t>1 W per barra quando accesa (classe NewSpace NMTR-X, 1 W tipico; ZARM 0,5 W medi). Spente durante le riprese; accese in spinta (scarico) e in safe/detumbling</t>
        </is>
      </c>
    </row>
    <row r="6" ht="15" customHeight="1" s="22">
      <c r="A6" s="28" t="inlineStr">
        <is>
          <t>P-05</t>
        </is>
      </c>
      <c r="B6" s="28" t="inlineStr">
        <is>
          <t>ADCS / GNC</t>
        </is>
      </c>
      <c r="C6" s="28" t="inlineStr">
        <is>
          <t>Magnetometro</t>
        </is>
      </c>
      <c r="D6" s="30" t="inlineStr">
        <is>
          <t>Giuliano</t>
        </is>
      </c>
      <c r="E6" s="36" t="n">
        <v>0.75</v>
      </c>
      <c r="F6" s="36" t="n">
        <v>0.75</v>
      </c>
      <c r="G6" s="36" t="n">
        <v>0.75</v>
      </c>
      <c r="H6" s="36" t="n">
        <v>0.75</v>
      </c>
      <c r="I6" s="36" t="n">
        <v>0.75</v>
      </c>
      <c r="J6" s="30" t="inlineStr">
        <is>
          <t>Catalogo</t>
        </is>
      </c>
      <c r="K6" s="33">
        <f>IF(J6="","",INDEX(Liste!$B$2:$B$4,MATCH(J6,Liste!$A$2:$A$4,0)))</f>
        <v/>
      </c>
      <c r="L6" s="30" t="inlineStr">
        <is>
          <t>Datasheet</t>
        </is>
      </c>
      <c r="M6" s="30" t="inlineStr">
        <is>
          <t>A5.3 f)</t>
        </is>
      </c>
      <c r="N6" s="30" t="inlineStr">
        <is>
          <t>&lt; 750 mW</t>
        </is>
      </c>
    </row>
    <row r="7" ht="15" customHeight="1" s="22">
      <c r="A7" s="28" t="inlineStr">
        <is>
          <t>P-06</t>
        </is>
      </c>
      <c r="B7" s="28" t="inlineStr">
        <is>
          <t>ADCS / GNC</t>
        </is>
      </c>
      <c r="C7" s="28" t="inlineStr">
        <is>
          <t>Sensori solari (6)</t>
        </is>
      </c>
      <c r="D7" s="30" t="inlineStr">
        <is>
          <t>Giuliano</t>
        </is>
      </c>
      <c r="E7" s="36" t="n">
        <v>0.3</v>
      </c>
      <c r="F7" s="36" t="n">
        <v>0.3</v>
      </c>
      <c r="G7" s="36" t="n">
        <v>0.3</v>
      </c>
      <c r="H7" s="36" t="n">
        <v>0.3</v>
      </c>
      <c r="I7" s="36" t="n">
        <v>0.3</v>
      </c>
      <c r="J7" s="30" t="inlineStr">
        <is>
          <t>Catalogo</t>
        </is>
      </c>
      <c r="K7" s="33">
        <f>IF(J7="","",INDEX(Liste!$B$2:$B$4,MATCH(J7,Liste!$A$2:$A$4,0)))</f>
        <v/>
      </c>
      <c r="L7" s="30" t="inlineStr">
        <is>
          <t>Datasheet</t>
        </is>
      </c>
      <c r="M7" s="30" t="inlineStr">
        <is>
          <t>A5.3 f)</t>
        </is>
      </c>
      <c r="N7" s="30" t="inlineStr">
        <is>
          <t>&lt; 10 mA a 5 V ciascuno</t>
        </is>
      </c>
    </row>
    <row r="8" ht="15" customHeight="1" s="22">
      <c r="A8" s="28" t="inlineStr">
        <is>
          <t>P-07</t>
        </is>
      </c>
      <c r="B8" s="28" t="inlineStr">
        <is>
          <t>ADCS / GNC</t>
        </is>
      </c>
      <c r="C8" s="28" t="inlineStr">
        <is>
          <t>Ricevitore GNSS</t>
        </is>
      </c>
      <c r="D8" s="30" t="inlineStr">
        <is>
          <t>Giuliano</t>
        </is>
      </c>
      <c r="E8" s="36" t="n">
        <v>0.125</v>
      </c>
      <c r="F8" s="36" t="n">
        <v>0.125</v>
      </c>
      <c r="G8" s="36" t="n">
        <v>0.125</v>
      </c>
      <c r="H8" s="36" t="n">
        <v>0.125</v>
      </c>
      <c r="I8" s="36" t="n">
        <v>0.125</v>
      </c>
      <c r="J8" s="30" t="inlineStr">
        <is>
          <t>Catalogo</t>
        </is>
      </c>
      <c r="K8" s="33">
        <f>IF(J8="","",INDEX(Liste!$B$2:$B$4,MATCH(J8,Liste!$A$2:$A$4,0)))</f>
        <v/>
      </c>
      <c r="L8" s="30" t="inlineStr">
        <is>
          <t>Datasheet</t>
        </is>
      </c>
      <c r="M8" s="30" t="inlineStr">
        <is>
          <t>DR-17</t>
        </is>
      </c>
      <c r="N8" s="30" t="inlineStr">
        <is>
          <t>125 mW tipici (piNAV-NG); antenna passiva/attiva da verificare</t>
        </is>
      </c>
    </row>
    <row r="9" ht="46.25" customHeight="1" s="22">
      <c r="A9" s="28" t="inlineStr">
        <is>
          <t>P-08</t>
        </is>
      </c>
      <c r="B9" s="28" t="inlineStr">
        <is>
          <t>Propulsione</t>
        </is>
      </c>
      <c r="C9" s="28" t="inlineStr">
        <is>
          <t>Unità REGULUS-50-I2 Large (a pieno carico di iodio)</t>
        </is>
      </c>
      <c r="D9" s="30" t="inlineStr">
        <is>
          <t>Giuliano</t>
        </is>
      </c>
      <c r="E9" s="36" t="n"/>
      <c r="F9" s="36" t="n"/>
      <c r="G9" s="36" t="n">
        <v>50</v>
      </c>
      <c r="H9" s="36" t="n"/>
      <c r="I9" s="36" t="n"/>
      <c r="J9" s="30" t="inlineStr">
        <is>
          <t>Catalogo</t>
        </is>
      </c>
      <c r="K9" s="33">
        <f>IF(J9="","",INDEX(Liste!$B$2:$B$4,MATCH(J9,Liste!$A$2:$A$4,0)))</f>
        <v/>
      </c>
      <c r="L9" s="30" t="inlineStr">
        <is>
          <t>Datasheet</t>
        </is>
      </c>
      <c r="M9" s="30" t="inlineStr">
        <is>
          <t>D-034</t>
        </is>
      </c>
      <c r="N9" s="30" t="inlineStr">
        <is>
          <t>Spinta 50 W nominali (30–60 W). Inviluppo di picco 75 W (BIT-3, D-034). Riscaldamento e mantenimento in temperatura dello iodio: TBD. ESA: per l'elettronica EP il margine voce va solo sulla potenza dissipata</t>
        </is>
      </c>
    </row>
    <row r="10" ht="15" customHeight="1" s="22">
      <c r="A10" s="28" t="inlineStr">
        <is>
          <t>P-09</t>
        </is>
      </c>
      <c r="B10" s="28" t="inlineStr">
        <is>
          <t>TT&amp;C</t>
        </is>
      </c>
      <c r="C10" s="28" t="inlineStr">
        <is>
          <t>Radio TT&amp;C: ricetrasmettitore S + radio VHF/UHF</t>
        </is>
      </c>
      <c r="D10" s="30" t="inlineStr">
        <is>
          <t>Giuliano</t>
        </is>
      </c>
      <c r="E10" s="36" t="n">
        <v>0.48</v>
      </c>
      <c r="F10" s="36" t="n">
        <v>0.48</v>
      </c>
      <c r="G10" s="36" t="n">
        <v>0.48</v>
      </c>
      <c r="H10" s="36" t="n">
        <v>15.48</v>
      </c>
      <c r="I10" s="36" t="n">
        <v>0.48</v>
      </c>
      <c r="J10" s="30" t="inlineStr">
        <is>
          <t>Catalogo modificato</t>
        </is>
      </c>
      <c r="K10" s="33">
        <f>IF(J10="","",INDEX(Liste!$B$2:$B$4,MATCH(J10,Liste!$A$2:$A$4,0)))</f>
        <v/>
      </c>
      <c r="L10" s="30" t="inlineStr">
        <is>
          <t>Datasheet</t>
        </is>
      </c>
      <c r="M10" s="30" t="inlineStr">
        <is>
          <t>D-084, D-082</t>
        </is>
      </c>
      <c r="N10" s="30" t="inlineStr">
        <is>
          <t>Fuori dai contatti: solo ricevitore VHF sempre acceso (0,48 W). Scarico: XLink-S &lt; 15 W con TX e RX + VHF. Ricevitore S anche ~1,3 h/giorno in sola ricezione attorno ai contatti (&lt; 4 W). Contatti ~71 min/giorno per satellite (in qualunque modo, anche in spinta: D-068). Emergenza UHF in trasmissione 4 W. Energia: TX ~17,7 Wh/giorno + RX S ~5 Wh + VHF ~11,5 Wh ≈ 34 Wh/giorno (profilo in A5.6)</t>
        </is>
      </c>
    </row>
    <row r="11" ht="15" customHeight="1" s="22">
      <c r="A11" s="28" t="inlineStr">
        <is>
          <t>P-10</t>
        </is>
      </c>
      <c r="B11" s="28" t="inlineStr">
        <is>
          <t>TT&amp;C</t>
        </is>
      </c>
      <c r="C11" s="28" t="inlineStr">
        <is>
          <t>Antenne TT&amp;C (passive)</t>
        </is>
      </c>
      <c r="D11" s="30" t="inlineStr">
        <is>
          <t>Giuliano</t>
        </is>
      </c>
      <c r="E11" s="36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0" t="inlineStr">
        <is>
          <t>Catalogo</t>
        </is>
      </c>
      <c r="K11" s="33">
        <f>IF(J11="","",INDEX(Liste!$B$2:$B$4,MATCH(J11,Liste!$A$2:$A$4,0)))</f>
        <v/>
      </c>
      <c r="L11" s="30" t="inlineStr">
        <is>
          <t>Datasheet</t>
        </is>
      </c>
      <c r="M11" s="30" t="inlineStr">
        <is>
          <t>D-068, D-080, D-082</t>
        </is>
      </c>
      <c r="N11" s="30" t="inlineStr">
        <is>
          <t>Passive. Dispiegamento dell'antenna VHF/UHF una volta sola: 2 W per &lt; 3 s per elemento (ISIS AntS)</t>
        </is>
      </c>
    </row>
    <row r="12" ht="23.85" customHeight="1" s="22">
      <c r="A12" s="28" t="inlineStr">
        <is>
          <t>P-11</t>
        </is>
      </c>
      <c r="B12" s="28" t="inlineStr">
        <is>
          <t>Payload</t>
        </is>
      </c>
      <c r="C12" s="28" t="inlineStr">
        <is>
          <t>Telescopio TMA (specchi + struttura ottica)</t>
        </is>
      </c>
      <c r="D12" s="30" t="inlineStr">
        <is>
          <t>Giuseppe</t>
        </is>
      </c>
      <c r="E12" s="36" t="n"/>
      <c r="F12" s="36" t="n"/>
      <c r="G12" s="36" t="n"/>
      <c r="H12" s="36" t="n"/>
      <c r="I12" s="36" t="n"/>
      <c r="J12" s="30" t="n"/>
      <c r="K12" s="33">
        <f>IF(J12="","",INDEX(Liste!$B$2:$B$4,MATCH(J12,Liste!$A$2:$A$4,0)))</f>
        <v/>
      </c>
      <c r="L12" s="30" t="inlineStr">
        <is>
          <t>TBD</t>
        </is>
      </c>
      <c r="M12" s="30" t="n"/>
      <c r="N12" s="30" t="n"/>
    </row>
    <row r="13" ht="15" customHeight="1" s="22">
      <c r="A13" s="28" t="inlineStr">
        <is>
          <t>P-12</t>
        </is>
      </c>
      <c r="B13" s="28" t="inlineStr">
        <is>
          <t>Payload</t>
        </is>
      </c>
      <c r="C13" s="28" t="inlineStr">
        <is>
          <t>Sensore diurno CMOS + elettronica</t>
        </is>
      </c>
      <c r="D13" s="30" t="inlineStr">
        <is>
          <t>Giuseppe</t>
        </is>
      </c>
      <c r="E13" s="36" t="n"/>
      <c r="F13" s="36" t="n"/>
      <c r="G13" s="36" t="n"/>
      <c r="H13" s="36" t="n"/>
      <c r="I13" s="36" t="n"/>
      <c r="J13" s="30" t="n"/>
      <c r="K13" s="33">
        <f>IF(J13="","",INDEX(Liste!$B$2:$B$4,MATCH(J13,Liste!$A$2:$A$4,0)))</f>
        <v/>
      </c>
      <c r="L13" s="30" t="inlineStr">
        <is>
          <t>TBD</t>
        </is>
      </c>
      <c r="M13" s="30" t="n"/>
      <c r="N13" s="30" t="n"/>
    </row>
    <row r="14" ht="15" customHeight="1" s="22">
      <c r="A14" s="28" t="inlineStr">
        <is>
          <t>P-13</t>
        </is>
      </c>
      <c r="B14" s="28" t="inlineStr">
        <is>
          <t>Payload</t>
        </is>
      </c>
      <c r="C14" s="28" t="inlineStr">
        <is>
          <t>Sensore notturno sCMOS + elettronica</t>
        </is>
      </c>
      <c r="D14" s="30" t="inlineStr">
        <is>
          <t>Giuseppe</t>
        </is>
      </c>
      <c r="E14" s="36" t="n"/>
      <c r="F14" s="36" t="n"/>
      <c r="G14" s="36" t="n"/>
      <c r="H14" s="36" t="n"/>
      <c r="I14" s="36" t="n"/>
      <c r="J14" s="30" t="n"/>
      <c r="K14" s="33">
        <f>IF(J14="","",INDEX(Liste!$B$2:$B$4,MATCH(J14,Liste!$A$2:$A$4,0)))</f>
        <v/>
      </c>
      <c r="L14" s="30" t="inlineStr">
        <is>
          <t>TBD</t>
        </is>
      </c>
      <c r="M14" s="30" t="n"/>
      <c r="N14" s="30" t="n"/>
    </row>
    <row r="15" ht="15" customHeight="1" s="22">
      <c r="A15" s="28" t="inlineStr">
        <is>
          <t>P-14</t>
        </is>
      </c>
      <c r="B15" s="28" t="inlineStr">
        <is>
          <t>Payload</t>
        </is>
      </c>
      <c r="C15" s="28" t="inlineStr">
        <is>
          <t>Deflettori / coperchio apertura</t>
        </is>
      </c>
      <c r="D15" s="30" t="inlineStr">
        <is>
          <t>Giuseppe</t>
        </is>
      </c>
      <c r="E15" s="36" t="n"/>
      <c r="F15" s="36" t="n"/>
      <c r="G15" s="36" t="n"/>
      <c r="H15" s="36" t="n"/>
      <c r="I15" s="36" t="n"/>
      <c r="J15" s="30" t="n"/>
      <c r="K15" s="33">
        <f>IF(J15="","",INDEX(Liste!$B$2:$B$4,MATCH(J15,Liste!$A$2:$A$4,0)))</f>
        <v/>
      </c>
      <c r="L15" s="30" t="inlineStr">
        <is>
          <t>TBD</t>
        </is>
      </c>
      <c r="M15" s="30" t="n"/>
      <c r="N15" s="30" t="n"/>
    </row>
    <row r="16" ht="15" customHeight="1" s="22">
      <c r="A16" s="28" t="inlineStr">
        <is>
          <t>P-15</t>
        </is>
      </c>
      <c r="B16" s="28" t="inlineStr">
        <is>
          <t>Elaborazione</t>
        </is>
      </c>
      <c r="C16" s="28" t="inlineStr">
        <is>
          <t>Scheda AI / elaborazione payload</t>
        </is>
      </c>
      <c r="D16" s="30" t="inlineStr">
        <is>
          <t>Giuseppe</t>
        </is>
      </c>
      <c r="E16" s="36" t="n"/>
      <c r="F16" s="36" t="n"/>
      <c r="G16" s="36" t="n"/>
      <c r="H16" s="36" t="n"/>
      <c r="I16" s="36" t="n"/>
      <c r="J16" s="30" t="n"/>
      <c r="K16" s="33">
        <f>IF(J16="","",INDEX(Liste!$B$2:$B$4,MATCH(J16,Liste!$A$2:$A$4,0)))</f>
        <v/>
      </c>
      <c r="L16" s="30" t="inlineStr">
        <is>
          <t>TBD</t>
        </is>
      </c>
      <c r="M16" s="30" t="n"/>
      <c r="N16" s="30" t="n"/>
    </row>
    <row r="17" ht="15" customHeight="1" s="22">
      <c r="A17" s="28" t="inlineStr">
        <is>
          <t>P-16</t>
        </is>
      </c>
      <c r="B17" s="28" t="inlineStr">
        <is>
          <t>Elaborazione</t>
        </is>
      </c>
      <c r="C17" s="28" t="inlineStr">
        <is>
          <t>Memoria di massa</t>
        </is>
      </c>
      <c r="D17" s="30" t="inlineStr">
        <is>
          <t>Giuseppe</t>
        </is>
      </c>
      <c r="E17" s="36" t="n"/>
      <c r="F17" s="36" t="n"/>
      <c r="G17" s="36" t="n"/>
      <c r="H17" s="36" t="n"/>
      <c r="I17" s="36" t="n"/>
      <c r="J17" s="30" t="n"/>
      <c r="K17" s="33">
        <f>IF(J17="","",INDEX(Liste!$B$2:$B$4,MATCH(J17,Liste!$A$2:$A$4,0)))</f>
        <v/>
      </c>
      <c r="L17" s="30" t="inlineStr">
        <is>
          <t>TBD</t>
        </is>
      </c>
      <c r="M17" s="30" t="n"/>
      <c r="N17" s="30" t="n"/>
    </row>
    <row r="18" ht="15" customHeight="1" s="22">
      <c r="A18" s="28" t="inlineStr">
        <is>
          <t>P-17</t>
        </is>
      </c>
      <c r="B18" s="28" t="inlineStr">
        <is>
          <t>OBC</t>
        </is>
      </c>
      <c r="C18" s="28" t="inlineStr">
        <is>
          <t>Computer di bordo di piattaforma</t>
        </is>
      </c>
      <c r="D18" s="30" t="inlineStr">
        <is>
          <t>TBC</t>
        </is>
      </c>
      <c r="E18" s="36" t="n"/>
      <c r="F18" s="36" t="n"/>
      <c r="G18" s="36" t="n"/>
      <c r="H18" s="36" t="n"/>
      <c r="I18" s="36" t="n"/>
      <c r="J18" s="30" t="n"/>
      <c r="K18" s="33">
        <f>IF(J18="","",INDEX(Liste!$B$2:$B$4,MATCH(J18,Liste!$A$2:$A$4,0)))</f>
        <v/>
      </c>
      <c r="L18" s="30" t="inlineStr">
        <is>
          <t>TBD</t>
        </is>
      </c>
      <c r="M18" s="30" t="n"/>
      <c r="N18" s="30" t="n"/>
    </row>
    <row r="19" ht="15" customHeight="1" s="22">
      <c r="A19" s="28" t="inlineStr">
        <is>
          <t>P-18</t>
        </is>
      </c>
      <c r="B19" s="28" t="inlineStr">
        <is>
          <t>EPS</t>
        </is>
      </c>
      <c r="C19" s="28" t="inlineStr">
        <is>
          <t>Pannelli solari</t>
        </is>
      </c>
      <c r="D19" s="30" t="inlineStr">
        <is>
          <t>Giuliano</t>
        </is>
      </c>
      <c r="E19" s="36" t="n"/>
      <c r="F19" s="36" t="n"/>
      <c r="G19" s="36" t="n"/>
      <c r="H19" s="36" t="n"/>
      <c r="I19" s="36" t="n"/>
      <c r="J19" s="30" t="n"/>
      <c r="K19" s="33">
        <f>IF(J19="","",INDEX(Liste!$B$2:$B$4,MATCH(J19,Liste!$A$2:$A$4,0)))</f>
        <v/>
      </c>
      <c r="L19" s="30" t="inlineStr">
        <is>
          <t>TBD</t>
        </is>
      </c>
      <c r="M19" s="30" t="inlineStr">
        <is>
          <t>D-087</t>
        </is>
      </c>
      <c r="N19" s="30" t="n"/>
    </row>
    <row r="20" ht="15" customHeight="1" s="22">
      <c r="A20" s="28" t="inlineStr">
        <is>
          <t>P-19</t>
        </is>
      </c>
      <c r="B20" s="28" t="inlineStr">
        <is>
          <t>EPS</t>
        </is>
      </c>
      <c r="C20" s="28" t="inlineStr">
        <is>
          <t>Batterie</t>
        </is>
      </c>
      <c r="D20" s="30" t="inlineStr">
        <is>
          <t>Giuliano</t>
        </is>
      </c>
      <c r="E20" s="36" t="n"/>
      <c r="F20" s="36" t="n"/>
      <c r="G20" s="36" t="n"/>
      <c r="H20" s="36" t="n"/>
      <c r="I20" s="36" t="n"/>
      <c r="J20" s="30" t="n"/>
      <c r="K20" s="33">
        <f>IF(J20="","",INDEX(Liste!$B$2:$B$4,MATCH(J20,Liste!$A$2:$A$4,0)))</f>
        <v/>
      </c>
      <c r="L20" s="30" t="inlineStr">
        <is>
          <t>TBD</t>
        </is>
      </c>
      <c r="M20" s="30" t="inlineStr">
        <is>
          <t>D-087</t>
        </is>
      </c>
      <c r="N20" s="30" t="n"/>
    </row>
    <row r="21" ht="15" customHeight="1" s="22">
      <c r="A21" s="28" t="inlineStr">
        <is>
          <t>P-20</t>
        </is>
      </c>
      <c r="B21" s="28" t="inlineStr">
        <is>
          <t>EPS</t>
        </is>
      </c>
      <c r="C21" s="28" t="inlineStr">
        <is>
          <t>Distribuzione (PCDU)</t>
        </is>
      </c>
      <c r="D21" s="30" t="inlineStr">
        <is>
          <t>Giuliano</t>
        </is>
      </c>
      <c r="E21" s="36" t="n"/>
      <c r="F21" s="36" t="n"/>
      <c r="G21" s="36" t="n"/>
      <c r="H21" s="36" t="n"/>
      <c r="I21" s="36" t="n"/>
      <c r="J21" s="30" t="n"/>
      <c r="K21" s="33">
        <f>IF(J21="","",INDEX(Liste!$B$2:$B$4,MATCH(J21,Liste!$A$2:$A$4,0)))</f>
        <v/>
      </c>
      <c r="L21" s="30" t="inlineStr">
        <is>
          <t>TBD</t>
        </is>
      </c>
      <c r="M21" s="30" t="inlineStr">
        <is>
          <t>D-087</t>
        </is>
      </c>
      <c r="N21" s="30" t="n"/>
    </row>
    <row r="22" ht="15" customHeight="1" s="22">
      <c r="A22" s="28" t="inlineStr">
        <is>
          <t>P-21</t>
        </is>
      </c>
      <c r="B22" s="28" t="inlineStr">
        <is>
          <t>Struttura</t>
        </is>
      </c>
      <c r="C22" s="28" t="inlineStr">
        <is>
          <t>Telaio 16U</t>
        </is>
      </c>
      <c r="D22" s="30" t="inlineStr">
        <is>
          <t>TBC</t>
        </is>
      </c>
      <c r="E22" s="36" t="n"/>
      <c r="F22" s="36" t="n"/>
      <c r="G22" s="36" t="n"/>
      <c r="H22" s="36" t="n"/>
      <c r="I22" s="36" t="n"/>
      <c r="J22" s="30" t="n"/>
      <c r="K22" s="33">
        <f>IF(J22="","",INDEX(Liste!$B$2:$B$4,MATCH(J22,Liste!$A$2:$A$4,0)))</f>
        <v/>
      </c>
      <c r="L22" s="30" t="inlineStr">
        <is>
          <t>TBD</t>
        </is>
      </c>
      <c r="M22" s="30" t="n"/>
      <c r="N22" s="30" t="n"/>
    </row>
    <row r="23" ht="15" customHeight="1" s="22">
      <c r="A23" s="28" t="inlineStr">
        <is>
          <t>P-22</t>
        </is>
      </c>
      <c r="B23" s="28" t="inlineStr">
        <is>
          <t>Struttura</t>
        </is>
      </c>
      <c r="C23" s="28" t="inlineStr">
        <is>
          <t>Meccanismi (apertura pannelli)</t>
        </is>
      </c>
      <c r="D23" s="30" t="inlineStr">
        <is>
          <t>TBC</t>
        </is>
      </c>
      <c r="E23" s="36" t="n"/>
      <c r="F23" s="36" t="n"/>
      <c r="G23" s="36" t="n"/>
      <c r="H23" s="36" t="n"/>
      <c r="I23" s="36" t="n"/>
      <c r="J23" s="30" t="n"/>
      <c r="K23" s="33">
        <f>IF(J23="","",INDEX(Liste!$B$2:$B$4,MATCH(J23,Liste!$A$2:$A$4,0)))</f>
        <v/>
      </c>
      <c r="L23" s="30" t="inlineStr">
        <is>
          <t>TBD</t>
        </is>
      </c>
      <c r="M23" s="30" t="n"/>
      <c r="N23" s="30" t="n"/>
    </row>
    <row r="24" ht="15" customHeight="1" s="22">
      <c r="A24" s="28" t="inlineStr">
        <is>
          <t>P-23</t>
        </is>
      </c>
      <c r="B24" s="28" t="inlineStr">
        <is>
          <t>Termico</t>
        </is>
      </c>
      <c r="C24" s="28" t="inlineStr">
        <is>
          <t>Termico payload (riscaldatori, MLI)</t>
        </is>
      </c>
      <c r="D24" s="30" t="inlineStr">
        <is>
          <t>Giuseppe</t>
        </is>
      </c>
      <c r="E24" s="36" t="n"/>
      <c r="F24" s="36" t="n"/>
      <c r="G24" s="36" t="n"/>
      <c r="H24" s="36" t="n"/>
      <c r="I24" s="36" t="n"/>
      <c r="J24" s="30" t="n"/>
      <c r="K24" s="33">
        <f>IF(J24="","",INDEX(Liste!$B$2:$B$4,MATCH(J24,Liste!$A$2:$A$4,0)))</f>
        <v/>
      </c>
      <c r="L24" s="30" t="inlineStr">
        <is>
          <t>TBD</t>
        </is>
      </c>
      <c r="M24" s="30" t="n"/>
      <c r="N24" s="30" t="n"/>
    </row>
    <row r="25" ht="15" customHeight="1" s="22">
      <c r="A25" s="28" t="inlineStr">
        <is>
          <t>P-24</t>
        </is>
      </c>
      <c r="B25" s="28" t="inlineStr">
        <is>
          <t>Termico</t>
        </is>
      </c>
      <c r="C25" s="28" t="inlineStr">
        <is>
          <t>Termico piattaforma</t>
        </is>
      </c>
      <c r="D25" s="30" t="inlineStr">
        <is>
          <t>TBC</t>
        </is>
      </c>
      <c r="E25" s="36" t="n"/>
      <c r="F25" s="36" t="n"/>
      <c r="G25" s="36" t="n"/>
      <c r="H25" s="36" t="n"/>
      <c r="I25" s="36" t="n"/>
      <c r="J25" s="30" t="n"/>
      <c r="K25" s="33">
        <f>IF(J25="","",INDEX(Liste!$B$2:$B$4,MATCH(J25,Liste!$A$2:$A$4,0)))</f>
        <v/>
      </c>
      <c r="L25" s="30" t="inlineStr">
        <is>
          <t>TBD</t>
        </is>
      </c>
      <c r="M25" s="30" t="n"/>
      <c r="N25" s="30" t="n"/>
    </row>
    <row r="27" ht="15" customHeight="1" s="22">
      <c r="C27" s="34" t="inlineStr">
        <is>
          <t>Somma nominale (W)</t>
        </is>
      </c>
      <c r="E27" s="37">
        <f>SUM(E2:E25)</f>
        <v/>
      </c>
      <c r="F27" s="37">
        <f>SUM(F2:F25)</f>
        <v/>
      </c>
      <c r="G27" s="37">
        <f>SUM(G2:G25)</f>
        <v/>
      </c>
      <c r="H27" s="37">
        <f>SUM(H2:H25)</f>
        <v/>
      </c>
      <c r="I27" s="37">
        <f>SUM(I2:I25)</f>
        <v/>
      </c>
    </row>
    <row r="28" ht="15" customHeight="1" s="22">
      <c r="C28" s="34" t="inlineStr">
        <is>
          <t>Somma con margine voce (W)</t>
        </is>
      </c>
      <c r="E28" s="37">
        <f>SUMPRODUCT(E2:E25,1+N(+K2:K25))</f>
        <v/>
      </c>
      <c r="F28" s="37">
        <f>SUMPRODUCT(F2:F25,1+N(+K2:K25))</f>
        <v/>
      </c>
      <c r="G28" s="37">
        <f>SUMPRODUCT(G2:G25,1+N(+K2:K25))</f>
        <v/>
      </c>
      <c r="H28" s="37">
        <f>SUMPRODUCT(H2:H25,1+N(+K2:K25))</f>
        <v/>
      </c>
      <c r="I28" s="37">
        <f>SUMPRODUCT(I2:I25,1+N(+K2:K25))</f>
        <v/>
      </c>
    </row>
    <row r="29" ht="15" customHeight="1" s="22">
      <c r="C29" s="34" t="inlineStr">
        <is>
          <t>Margine di sistema (W)</t>
        </is>
      </c>
      <c r="E29" s="37">
        <f>Parametri!$B$2*E28</f>
        <v/>
      </c>
      <c r="F29" s="37">
        <f>Parametri!$B$2*F28</f>
        <v/>
      </c>
      <c r="G29" s="37">
        <f>Parametri!$B$2*G28</f>
        <v/>
      </c>
      <c r="H29" s="37">
        <f>Parametri!$B$2*H28</f>
        <v/>
      </c>
      <c r="I29" s="37">
        <f>Parametri!$B$2*I28</f>
        <v/>
      </c>
    </row>
    <row r="30" ht="15" customHeight="1" s="22">
      <c r="C30" s="34" t="inlineStr">
        <is>
          <t>Totale con margini (W)</t>
        </is>
      </c>
      <c r="E30" s="37">
        <f>E28+E29</f>
        <v/>
      </c>
      <c r="F30" s="37">
        <f>F28+F29</f>
        <v/>
      </c>
      <c r="G30" s="37">
        <f>G28+G29</f>
        <v/>
      </c>
      <c r="H30" s="37">
        <f>H28+H29</f>
        <v/>
      </c>
      <c r="I30" s="37">
        <f>I28+I29</f>
        <v/>
      </c>
    </row>
    <row r="32" ht="23.85" customHeight="1" s="22">
      <c r="C32" s="38" t="inlineStr">
        <is>
          <t>Media sull'orbita e profilo eclisse/luce: da A5.6 (TBD)</t>
        </is>
      </c>
    </row>
  </sheetData>
  <dataValidations count="3">
    <dataValidation sqref="J2:J25" showDropDown="0" showInputMessage="0" showErrorMessage="0" allowBlank="1" type="list" errorStyle="stop" operator="between">
      <formula1>Liste!$A$2:$A$4</formula1>
      <formula2>0</formula2>
    </dataValidation>
    <dataValidation sqref="L2:L25" showDropDown="0" showInputMessage="0" showErrorMessage="0" allowBlank="1" type="list" errorStyle="stop" operator="between">
      <formula1>Liste!$C$2:$C$6</formula1>
      <formula2>0</formula2>
    </dataValidation>
    <dataValidation sqref="D2:D25" showDropDown="0" showInputMessage="0" showErrorMessage="0" allowBlank="1" type="list" errorStyle="stop" operator="between">
      <formula1>Liste!$D$2:$D$5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1" min="1" max="1"/>
    <col width="40" customWidth="1" style="21" min="2" max="2"/>
    <col width="10" customWidth="1" style="21" min="3" max="3"/>
    <col width="13" customWidth="1" style="21" min="4" max="4"/>
    <col width="11" customWidth="1" style="21" min="5" max="5"/>
    <col width="13" customWidth="1" style="21" min="6" max="6"/>
    <col width="11" customWidth="1" style="21" min="7" max="7"/>
    <col width="16" customWidth="1" style="21" min="8" max="8"/>
    <col width="50" customWidth="1" style="21" min="9" max="9"/>
  </cols>
  <sheetData>
    <row r="1" ht="23.85" customHeight="1" s="22">
      <c r="A1" s="27" t="inlineStr">
        <is>
          <t>ID</t>
        </is>
      </c>
      <c r="B1" s="27" t="inlineStr">
        <is>
          <t>Prodotto</t>
        </is>
      </c>
      <c r="C1" s="27" t="inlineStr">
        <is>
          <t>Resp.</t>
        </is>
      </c>
      <c r="D1" s="27" t="inlineStr">
        <is>
          <t>Dimensione per unità (MB)</t>
        </is>
      </c>
      <c r="E1" s="27" t="inlineStr">
        <is>
          <t>Unità al giorno</t>
        </is>
      </c>
      <c r="F1" s="27" t="inlineStr">
        <is>
          <t>Volume al giorno (MB)</t>
        </is>
      </c>
      <c r="G1" s="27" t="inlineStr">
        <is>
          <t>Origine</t>
        </is>
      </c>
      <c r="H1" s="27" t="inlineStr">
        <is>
          <t>Riferimento</t>
        </is>
      </c>
      <c r="I1" s="27" t="inlineStr">
        <is>
          <t>Note</t>
        </is>
      </c>
    </row>
    <row r="2" ht="23.85" customHeight="1" s="22">
      <c r="A2" s="28" t="inlineStr">
        <is>
          <t>D-01</t>
        </is>
      </c>
      <c r="B2" s="28" t="inlineStr">
        <is>
          <t>Immagine notturna 9,8 × 9,8 km, binning 1×1 (12 bit)</t>
        </is>
      </c>
      <c r="C2" s="30" t="inlineStr">
        <is>
          <t>Giuseppe</t>
        </is>
      </c>
      <c r="D2" s="39" t="n">
        <v>6.3</v>
      </c>
      <c r="E2" s="30" t="n"/>
      <c r="F2" s="40">
        <f>IF(OR(D2="",E2=""),"",D2*E2)</f>
        <v/>
      </c>
      <c r="G2" s="30" t="inlineStr">
        <is>
          <t>Calcolo</t>
        </is>
      </c>
      <c r="H2" s="30" t="inlineStr">
        <is>
          <t>Report A3 / D-031</t>
        </is>
      </c>
      <c r="I2" s="30" t="n"/>
    </row>
    <row r="3" ht="23.85" customHeight="1" s="22">
      <c r="A3" s="28" t="inlineStr">
        <is>
          <t>D-02</t>
        </is>
      </c>
      <c r="B3" s="28" t="inlineStr">
        <is>
          <t>Immagine notturna 9,8 × 9,8 km, binning 2×2 (12 bit)</t>
        </is>
      </c>
      <c r="C3" s="30" t="inlineStr">
        <is>
          <t>Giuseppe</t>
        </is>
      </c>
      <c r="D3" s="39" t="n">
        <v>1.6</v>
      </c>
      <c r="E3" s="30" t="n"/>
      <c r="F3" s="40">
        <f>IF(OR(D3="",E3=""),"",D3*E3)</f>
        <v/>
      </c>
      <c r="G3" s="30" t="inlineStr">
        <is>
          <t>Calcolo</t>
        </is>
      </c>
      <c r="H3" s="30" t="inlineStr">
        <is>
          <t>Report A3 / D-031</t>
        </is>
      </c>
      <c r="I3" s="30" t="n"/>
    </row>
    <row r="4" ht="23.85" customHeight="1" s="22">
      <c r="A4" s="28" t="inlineStr">
        <is>
          <t>D-03</t>
        </is>
      </c>
      <c r="B4" s="28" t="inlineStr">
        <is>
          <t>Immagine notturna 9,8 × 9,8 km, binning 3×3 (12 bit)</t>
        </is>
      </c>
      <c r="C4" s="30" t="inlineStr">
        <is>
          <t>Giuseppe</t>
        </is>
      </c>
      <c r="D4" s="39" t="n">
        <v>0.7</v>
      </c>
      <c r="E4" s="30" t="n"/>
      <c r="F4" s="40">
        <f>IF(OR(D4="",E4=""),"",D4*E4)</f>
        <v/>
      </c>
      <c r="G4" s="30" t="inlineStr">
        <is>
          <t>Calcolo</t>
        </is>
      </c>
      <c r="H4" s="30" t="inlineStr">
        <is>
          <t>Report A3 / D-031</t>
        </is>
      </c>
      <c r="I4" s="30" t="n"/>
    </row>
    <row r="5" ht="23.85" customHeight="1" s="22">
      <c r="A5" s="28" t="inlineStr">
        <is>
          <t>D-04</t>
        </is>
      </c>
      <c r="B5" s="28" t="inlineStr">
        <is>
          <t>Immagine diurna PAN + RGB-NIR (dopo somma TDI)</t>
        </is>
      </c>
      <c r="C5" s="30" t="inlineStr">
        <is>
          <t>Giuseppe</t>
        </is>
      </c>
      <c r="D5" s="39" t="n"/>
      <c r="E5" s="30" t="n"/>
      <c r="F5" s="40">
        <f>IF(OR(D5="",E5=""),"",D5*E5)</f>
        <v/>
      </c>
      <c r="G5" s="30" t="inlineStr">
        <is>
          <t>TBD</t>
        </is>
      </c>
      <c r="H5" s="30" t="inlineStr">
        <is>
          <t>A5 (Giuseppe)</t>
        </is>
      </c>
      <c r="I5" s="30" t="n"/>
    </row>
    <row r="6" ht="15" customHeight="1" s="22">
      <c r="A6" s="28" t="inlineStr">
        <is>
          <t>D-05</t>
        </is>
      </c>
      <c r="B6" s="28" t="inlineStr">
        <is>
          <t>Vettori GIS + ritaglio per allarme</t>
        </is>
      </c>
      <c r="C6" s="30" t="inlineStr">
        <is>
          <t>Giuseppe</t>
        </is>
      </c>
      <c r="D6" s="39" t="n"/>
      <c r="E6" s="30" t="n"/>
      <c r="F6" s="40">
        <f>IF(OR(D6="",E6=""),"",D6*E6)</f>
        <v/>
      </c>
      <c r="G6" s="30" t="inlineStr">
        <is>
          <t>TBD</t>
        </is>
      </c>
      <c r="H6" s="30" t="inlineStr">
        <is>
          <t>MR-09</t>
        </is>
      </c>
      <c r="I6" s="30" t="n"/>
    </row>
    <row r="7" ht="15" customHeight="1" s="22">
      <c r="A7" s="28" t="inlineStr">
        <is>
          <t>D-06</t>
        </is>
      </c>
      <c r="B7" s="28" t="inlineStr">
        <is>
          <t>Telemetria di piattaforma</t>
        </is>
      </c>
      <c r="C7" s="30" t="inlineStr">
        <is>
          <t>Giuliano</t>
        </is>
      </c>
      <c r="D7" s="39" t="n">
        <v>5</v>
      </c>
      <c r="E7" s="30" t="n">
        <v>1</v>
      </c>
      <c r="F7" s="40">
        <f>IF(OR(D7="",E7=""),"",D7*E7)</f>
        <v/>
      </c>
      <c r="G7" s="30" t="inlineStr">
        <is>
          <t>Stima</t>
        </is>
      </c>
      <c r="H7" s="30" t="inlineStr">
        <is>
          <t>A5.5 (Giuliano)</t>
        </is>
      </c>
      <c r="I7" s="30" t="inlineStr">
        <is>
          <t>Telemetria di piattaforma ~5 MB/giorno (stima: ~300 parametri da 2 byte ogni 10 s ≈ 5,2 MB; dati ADCS ad alta frequenza durante le riprese trascurabili). Telemetria del payload ~3 MB/giorno: riga di Giuseppe</t>
        </is>
      </c>
    </row>
    <row r="9" ht="15" customHeight="1" s="22">
      <c r="B9" s="34" t="inlineStr">
        <is>
          <t>Volume giornaliero totale (MB)</t>
        </is>
      </c>
      <c r="F9" s="41">
        <f>SUM(F2:F7)</f>
        <v/>
      </c>
    </row>
    <row r="10" ht="23.85" customHeight="1" s="22">
      <c r="B10" s="38" t="inlineStr">
        <is>
          <t>Capacità di scarico al giorno per satellite (MB): banda S 4,3 Mbit/s, ~71 min/giorno di contatto, 30 s di aggancio per contatto (D-069, A5.5.4)</t>
        </is>
      </c>
      <c r="F10" s="41" t="n">
        <v>2030</v>
      </c>
    </row>
    <row r="11" ht="23.85" customHeight="1" s="22">
      <c r="B11" s="38" t="inlineStr">
        <is>
          <t>Memoria di bordo: margine RAM ≥ 50%, processore ≤ 50% (D-035)</t>
        </is>
      </c>
    </row>
    <row r="12">
      <c r="B12" s="21" t="inlineStr">
        <is>
          <t>Uso della capacità (volume / capacità)</t>
        </is>
      </c>
      <c r="F12" s="41">
        <f>IF(F9="","",F9/F10)</f>
        <v/>
      </c>
    </row>
  </sheetData>
  <dataValidations count="2">
    <dataValidation sqref="G2:G7" showDropDown="0" showInputMessage="0" showErrorMessage="0" allowBlank="1" type="list" errorStyle="stop" operator="between">
      <formula1>Liste!$C$2:$C$6</formula1>
      <formula2>0</formula2>
    </dataValidation>
    <dataValidation sqref="C2:C7" showDropDown="0" showInputMessage="0" showErrorMessage="0" allowBlank="1" type="list" errorStyle="stop" operator="between">
      <formula1>Liste!$D$2:$D$5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1" min="1" max="1"/>
    <col width="40" customWidth="1" style="21" min="2" max="2"/>
    <col width="10" customWidth="1" style="21" min="3" max="3"/>
    <col width="9" customWidth="1" style="21" min="4" max="6"/>
    <col width="12" customWidth="1" style="21" min="7" max="7"/>
    <col width="11" customWidth="1" style="21" min="8" max="8"/>
    <col width="14" customWidth="1" style="21" min="9" max="9"/>
    <col width="50" customWidth="1" style="21" min="10" max="10"/>
  </cols>
  <sheetData>
    <row r="1" ht="23.85" customHeight="1" s="22">
      <c r="A1" s="27" t="inlineStr">
        <is>
          <t>ID</t>
        </is>
      </c>
      <c r="B1" s="27" t="inlineStr">
        <is>
          <t>Voce</t>
        </is>
      </c>
      <c r="C1" s="27" t="inlineStr">
        <is>
          <t>Resp.</t>
        </is>
      </c>
      <c r="D1" s="27" t="inlineStr">
        <is>
          <t>X (mm)</t>
        </is>
      </c>
      <c r="E1" s="27" t="inlineStr">
        <is>
          <t>Y (mm)</t>
        </is>
      </c>
      <c r="F1" s="27" t="inlineStr">
        <is>
          <t>Z (mm)</t>
        </is>
      </c>
      <c r="G1" s="27" t="inlineStr">
        <is>
          <t>Volume ingombro (L)</t>
        </is>
      </c>
      <c r="H1" s="27" t="inlineStr">
        <is>
          <t>Origine</t>
        </is>
      </c>
      <c r="I1" s="27" t="inlineStr">
        <is>
          <t>Riferimento</t>
        </is>
      </c>
      <c r="J1" s="27" t="inlineStr">
        <is>
          <t>Note</t>
        </is>
      </c>
    </row>
    <row r="2" ht="15" customHeight="1" s="22">
      <c r="A2" s="28" t="inlineStr">
        <is>
          <t>V-01</t>
        </is>
      </c>
      <c r="B2" s="28" t="inlineStr">
        <is>
          <t>Unità propulsiva REGULUS-50-I2 Large</t>
        </is>
      </c>
      <c r="C2" s="30" t="inlineStr">
        <is>
          <t>Giuliano</t>
        </is>
      </c>
      <c r="D2" s="30" t="n">
        <v>93.8</v>
      </c>
      <c r="E2" s="30" t="n">
        <v>95</v>
      </c>
      <c r="F2" s="30" t="n">
        <v>250</v>
      </c>
      <c r="G2" s="40">
        <f>IF(OR(D2="",E2="",F2=""),"",D2*E2*F2/1000000)</f>
        <v/>
      </c>
      <c r="I2" s="30" t="inlineStr">
        <is>
          <t>D-034</t>
        </is>
      </c>
      <c r="J2" s="30" t="inlineStr">
        <is>
          <t>Valore prudente (l'altra tabella T4I dà 200 mm). DA VERIFICARE IN A5.7: con l'orientamento L1 (D-043) la spinta è lungo X, dove l'involucro è 226,3 mm: con 250 mm l'unità non entra se l'ugello è in testata; controllare disegno T4I</t>
        </is>
      </c>
    </row>
    <row r="3" ht="15" customHeight="1" s="22">
      <c r="A3" s="28" t="inlineStr">
        <is>
          <t>V-02</t>
        </is>
      </c>
      <c r="B3" s="28" t="inlineStr">
        <is>
          <t>Telescopio TMA</t>
        </is>
      </c>
      <c r="C3" s="30" t="inlineStr">
        <is>
          <t>Giuseppe</t>
        </is>
      </c>
      <c r="D3" s="30" t="n"/>
      <c r="E3" s="30" t="n"/>
      <c r="F3" s="30" t="n"/>
      <c r="G3" s="40">
        <f>IF(OR(D3="",E3="",F3=""),"",D3*E3*F3/1000000)</f>
        <v/>
      </c>
      <c r="I3" s="30" t="inlineStr">
        <is>
          <t>R-01</t>
        </is>
      </c>
      <c r="J3" s="30" t="n"/>
    </row>
    <row r="4" ht="15" customHeight="1" s="22">
      <c r="A4" s="28" t="inlineStr">
        <is>
          <t>V-03</t>
        </is>
      </c>
      <c r="B4" s="28" t="inlineStr">
        <is>
          <t>ADCS</t>
        </is>
      </c>
      <c r="C4" s="30" t="inlineStr">
        <is>
          <t>Giuliano</t>
        </is>
      </c>
      <c r="D4" s="30" t="n">
        <v>155.7</v>
      </c>
      <c r="E4" s="30" t="n">
        <v>155.7</v>
      </c>
      <c r="F4" s="30" t="n">
        <v>155.7</v>
      </c>
      <c r="G4" s="40">
        <f>IF(OR(D4="",E4="",F4=""),"",D4*E4*F4/1000000)</f>
        <v/>
      </c>
      <c r="H4" s="21" t="inlineStr">
        <is>
          <t>Calcolo</t>
        </is>
      </c>
      <c r="I4" s="30" t="inlineStr">
        <is>
          <t>A5.3</t>
        </is>
      </c>
      <c r="J4" s="30" t="inlineStr">
        <is>
          <t>CUBO EQUIVALENTE (somma dei volumi, 3.77 L), non ingombro reale: il layout si fa in A5.7. Componenti: ruote 4 × 70×70×25; IMU KVH 1750 (ingombro 88,9×88,9×73,7); star tracker 2 × 99×99×120 (paraluce grande); magnetorquer 3 × 13×13×152; magnetometro 99×43×17; GNSS 71×46×11; sensori solari 6 × 34×40×20. Gli star tracker con paraluce grande pesano 2,35 L: con il paraluce corto (62×56×68) scenderebbero a 0,47 L</t>
        </is>
      </c>
    </row>
    <row r="5" ht="15" customHeight="1" s="22">
      <c r="A5" s="28" t="inlineStr">
        <is>
          <t>V-04</t>
        </is>
      </c>
      <c r="B5" s="28" t="inlineStr">
        <is>
          <t>TT&amp;C</t>
        </is>
      </c>
      <c r="C5" s="30" t="inlineStr">
        <is>
          <t>Giuliano</t>
        </is>
      </c>
      <c r="D5" s="30" t="n">
        <v>80</v>
      </c>
      <c r="E5" s="30" t="n">
        <v>80</v>
      </c>
      <c r="F5" s="30" t="n">
        <v>80</v>
      </c>
      <c r="G5" s="40">
        <f>IF(OR(D5="",E5="",F5=""),"",D5*E5*F5/1000000)</f>
        <v/>
      </c>
      <c r="H5" s="21" t="inlineStr">
        <is>
          <t>Calcolo</t>
        </is>
      </c>
      <c r="I5" s="30" t="inlineStr">
        <is>
          <t>A5.5, D-084</t>
        </is>
      </c>
      <c r="J5" s="30" t="inlineStr">
        <is>
          <t>CUBO EQUIVALENTE (somma dei volumi), non ingombro reale: XLink-S ~0,2 L (&lt; 0,2U); ISIS VHF/UHF 90 × 96 × 15; AntS 98 × 98 × 7 (su una faccia esterna); 2 patch S ~80 × 80 × 9 (la nadir compatta ≤ 60 × 60, D-080). Posizioni in A5.7</t>
        </is>
      </c>
    </row>
    <row r="6" ht="15" customHeight="1" s="22">
      <c r="A6" s="28" t="inlineStr">
        <is>
          <t>V-05</t>
        </is>
      </c>
      <c r="B6" s="28" t="inlineStr">
        <is>
          <t>Elaborazione payload</t>
        </is>
      </c>
      <c r="C6" s="30" t="inlineStr">
        <is>
          <t>Giuseppe</t>
        </is>
      </c>
      <c r="D6" s="30" t="n"/>
      <c r="E6" s="30" t="n"/>
      <c r="F6" s="30" t="n"/>
      <c r="G6" s="40">
        <f>IF(OR(D6="",E6="",F6=""),"",D6*E6*F6/1000000)</f>
        <v/>
      </c>
      <c r="I6" s="30" t="inlineStr">
        <is>
          <t>A5</t>
        </is>
      </c>
      <c r="J6" s="30" t="n"/>
    </row>
    <row r="7" ht="15" customHeight="1" s="22">
      <c r="A7" s="28" t="inlineStr">
        <is>
          <t>V-06</t>
        </is>
      </c>
      <c r="B7" s="28" t="inlineStr">
        <is>
          <t>OBC</t>
        </is>
      </c>
      <c r="C7" s="30" t="inlineStr">
        <is>
          <t>TBC</t>
        </is>
      </c>
      <c r="D7" s="30" t="n"/>
      <c r="E7" s="30" t="n"/>
      <c r="F7" s="30" t="n"/>
      <c r="G7" s="40">
        <f>IF(OR(D7="",E7="",F7=""),"",D7*E7*F7/1000000)</f>
        <v/>
      </c>
      <c r="I7" s="30" t="n"/>
      <c r="J7" s="30" t="n"/>
    </row>
    <row r="8" ht="15" customHeight="1" s="22">
      <c r="A8" s="28" t="inlineStr">
        <is>
          <t>V-07</t>
        </is>
      </c>
      <c r="B8" s="28" t="inlineStr">
        <is>
          <t>EPS (batterie, PCDU)</t>
        </is>
      </c>
      <c r="C8" s="30" t="inlineStr">
        <is>
          <t>TBC</t>
        </is>
      </c>
      <c r="D8" s="30" t="n"/>
      <c r="E8" s="30" t="n"/>
      <c r="F8" s="30" t="n"/>
      <c r="G8" s="40">
        <f>IF(OR(D8="",E8="",F8=""),"",D8*E8*F8/1000000)</f>
        <v/>
      </c>
      <c r="I8" s="30" t="n"/>
      <c r="J8" s="30" t="n"/>
    </row>
    <row r="10" ht="15" customHeight="1" s="22">
      <c r="B10" s="34" t="inlineStr">
        <is>
          <t>Volume usato (L)</t>
        </is>
      </c>
      <c r="G10" s="35">
        <f>SUM(G2:G8)</f>
        <v/>
      </c>
    </row>
    <row r="11" ht="23.85" customHeight="1" s="22">
      <c r="B11" s="34" t="inlineStr">
        <is>
          <t>Involucro lordo tra i binari (L), struttura compresa</t>
        </is>
      </c>
      <c r="G11" s="35">
        <f>Parametri!$B$9*Parametri!$B$10*Parametri!$B$11/1000000</f>
        <v/>
      </c>
    </row>
    <row r="12" ht="15" customHeight="1" s="22">
      <c r="B12" s="34" t="inlineStr">
        <is>
          <t>Rapporto usato / lordo</t>
        </is>
      </c>
      <c r="G12" s="41">
        <f>G10/G11</f>
        <v/>
      </c>
    </row>
    <row r="13" ht="35.05" customHeight="1" s="22">
      <c r="B13" s="38" t="inlineStr">
        <is>
          <t>Volume interno utile: TBD (da A5.7). ESA: nessuna % fissa, si segue il rapporto usato/disponibile</t>
        </is>
      </c>
    </row>
  </sheetData>
  <dataValidations count="1">
    <dataValidation sqref="H2:H8" showDropDown="0" showInputMessage="0" showErrorMessage="0" allowBlank="1" type="list" errorStyle="stop" operator="between">
      <formula1>Liste!$C$2:$C$6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22">
      <c r="A1" s="24" t="inlineStr">
        <is>
          <t>Maturità</t>
        </is>
      </c>
      <c r="B1" s="24" t="inlineStr">
        <is>
          <t>Margine</t>
        </is>
      </c>
      <c r="C1" s="24" t="inlineStr">
        <is>
          <t>Origine</t>
        </is>
      </c>
      <c r="D1" s="24" t="inlineStr">
        <is>
          <t>Responsabile</t>
        </is>
      </c>
    </row>
    <row r="2" ht="15" customHeight="1" s="22">
      <c r="A2" s="26" t="inlineStr">
        <is>
          <t>Catalogo</t>
        </is>
      </c>
      <c r="B2" s="42" t="n">
        <v>0.05</v>
      </c>
      <c r="C2" s="26" t="inlineStr">
        <is>
          <t>Datasheet</t>
        </is>
      </c>
      <c r="D2" s="26" t="inlineStr">
        <is>
          <t>Giuliano</t>
        </is>
      </c>
    </row>
    <row r="3" ht="15" customHeight="1" s="22">
      <c r="A3" s="26" t="inlineStr">
        <is>
          <t>Catalogo modificato</t>
        </is>
      </c>
      <c r="B3" s="42" t="n">
        <v>0.1</v>
      </c>
      <c r="C3" s="26" t="inlineStr">
        <is>
          <t>Calcolo</t>
        </is>
      </c>
      <c r="D3" s="26" t="inlineStr">
        <is>
          <t>Giuseppe</t>
        </is>
      </c>
    </row>
    <row r="4" ht="15" customHeight="1" s="22">
      <c r="A4" s="26" t="inlineStr">
        <is>
          <t>Nuovo</t>
        </is>
      </c>
      <c r="B4" s="42" t="n">
        <v>0.2</v>
      </c>
      <c r="C4" s="26" t="inlineStr">
        <is>
          <t>Stima</t>
        </is>
      </c>
      <c r="D4" s="26" t="inlineStr">
        <is>
          <t>Entrambi</t>
        </is>
      </c>
    </row>
    <row r="5" ht="15" customHeight="1" s="22">
      <c r="C5" s="26" t="inlineStr">
        <is>
          <t>TBC</t>
        </is>
      </c>
      <c r="D5" s="26" t="inlineStr">
        <is>
          <t>TBC</t>
        </is>
      </c>
    </row>
    <row r="6" ht="15" customHeight="1" s="22">
      <c r="C6" s="26" t="inlineStr">
        <is>
          <t>TBD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2026-10-23T19:14:17Z</dcterms:created>
  <dcterms:modified xmlns:dcterms="http://purl.org/dc/terms/" xmlns:xsi="http://www.w3.org/2001/XMLSchema-instance" xsi:type="dcterms:W3CDTF">2026-10-30T13:20:51Z</dcterms:modified>
  <cp:revision>0</cp:revision>
</cp:coreProperties>
</file>