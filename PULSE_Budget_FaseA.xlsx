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e profilo da A5.6 (sotto i totali).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0.185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D-051, D-123</t>
        </is>
      </c>
      <c r="M3" s="30" t="inlineStr">
        <is>
          <t>Rocket Lab ST-16RT2 con paraluce corto (D-123): 185 g per testa, 62 × 56 × 68 mm (158 g senza, 235 g con il grande)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Giuliano</t>
        </is>
      </c>
      <c r="E18" s="30" t="n">
        <v>1</v>
      </c>
      <c r="F18" s="31" t="n">
        <v>0.1</v>
      </c>
      <c r="G18" s="32">
        <f>IF(OR(E18="",F18=""),"",E18*F18)</f>
        <v/>
      </c>
      <c r="H18" s="30" t="inlineStr">
        <is>
          <t>Catalogo</t>
        </is>
      </c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Datasheet</t>
        </is>
      </c>
      <c r="L18" s="30" t="inlineStr">
        <is>
          <t>D-104, D-121</t>
        </is>
      </c>
      <c r="M18" s="30" t="inlineStr">
        <is>
          <t>Classe ISIS iOBC: 76 g scheda, 100 g con scheda figlia; 96 × 90 × 12,4 mm; −25/+65 °C</t>
        </is>
      </c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0" t="n">
        <v>6</v>
      </c>
      <c r="F19" s="31" t="n">
        <v>0.55</v>
      </c>
      <c r="G19" s="32">
        <f>IF(OR(E19="",F19=""),"",E19*F19)</f>
        <v/>
      </c>
      <c r="H19" s="30" t="inlineStr">
        <is>
          <t>Catalogo modificato</t>
        </is>
      </c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Stima</t>
        </is>
      </c>
      <c r="L19" s="30" t="inlineStr">
        <is>
          <t>D-106, D-108, D-119</t>
        </is>
      </c>
      <c r="M19" s="30" t="inlineStr">
        <is>
          <t>6 ali 226 × 454 mm (S1, substrato FR4/alluminio): 5,0–5,5 kg/m² con celle a catalogo (AAC Photon 3U 135 g, ISIS 3U 150 g) × 0,103 m²; celle 118 g per ala (D-108). Con 8 ali (R-56) +1,1 kg</t>
        </is>
      </c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0" t="n">
        <v>1</v>
      </c>
      <c r="F20" s="31" t="n">
        <v>0.75</v>
      </c>
      <c r="G20" s="32">
        <f>IF(OR(E20="",F20=""),"",E20*F20)</f>
        <v/>
      </c>
      <c r="H20" s="30" t="inlineStr">
        <is>
          <t>Catalogo modificato</t>
        </is>
      </c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Stima</t>
        </is>
      </c>
      <c r="L20" s="30" t="inlineStr">
        <is>
          <t>D-109, D-121</t>
        </is>
      </c>
      <c r="M20" s="30" t="inlineStr">
        <is>
          <t>4S3P, 12 celle 18650 2,6 Ah: 62,5 g per cella scalati da GomSpace BPX (500 g per 8 celle, con elettronica e riscaldatori da 6 W)</t>
        </is>
      </c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0" t="n">
        <v>1</v>
      </c>
      <c r="F21" s="31" t="n">
        <v>0.282</v>
      </c>
      <c r="G21" s="32">
        <f>IF(OR(E21="",F21=""),"",E21*F21)</f>
        <v/>
      </c>
      <c r="H21" s="30" t="inlineStr">
        <is>
          <t>Catalogo</t>
        </is>
      </c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Datasheet</t>
        </is>
      </c>
      <c r="L21" s="30" t="inlineStr">
        <is>
          <t>D-104, D-121</t>
        </is>
      </c>
      <c r="M21" s="30" t="inlineStr">
        <is>
          <t>Classe GomSpace P60: base &lt; 80 g + 2 ACU × 54 g + 2 PDU × 47 g (2 ACU per avere ingressi anche per 8 ali); 92 × 88,9 × 28,9 mm; −35/+85 °C</t>
        </is>
      </c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Giuliano</t>
        </is>
      </c>
      <c r="E22" s="30" t="n">
        <v>1</v>
      </c>
      <c r="F22" s="31" t="n">
        <v>2.5</v>
      </c>
      <c r="G22" s="32">
        <f>IF(OR(E22="",F22=""),"",E22*F22)</f>
        <v/>
      </c>
      <c r="H22" s="30" t="inlineStr">
        <is>
          <t>Catalogo modificato</t>
        </is>
      </c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Datasheet</t>
        </is>
      </c>
      <c r="L22" s="30" t="inlineStr">
        <is>
          <t>D-036, D-120</t>
        </is>
      </c>
      <c r="M22" s="30" t="inlineStr">
        <is>
          <t>Classe EnduroSat 16U (Al 6082, 226,3 × 226,3 × 454 mm, viti e 6 anelli compresi). Catalogo modificato: attacchi per ali, motore e radiatore</t>
        </is>
      </c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Giuliano</t>
        </is>
      </c>
      <c r="E23" s="30" t="n">
        <v>6</v>
      </c>
      <c r="F23" s="31" t="n">
        <v>0.06</v>
      </c>
      <c r="G23" s="32">
        <f>IF(OR(E23="",F23=""),"",E23*F23)</f>
        <v/>
      </c>
      <c r="H23" s="30" t="inlineStr">
        <is>
          <t>Nuovo</t>
        </is>
      </c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Stima</t>
        </is>
      </c>
      <c r="L23" s="30" t="inlineStr">
        <is>
          <t>D-106, D-121</t>
        </is>
      </c>
      <c r="M23" s="30" t="inlineStr">
        <is>
          <t>2 cerniere a molla + 1 sgancio (classe filo che brucia o vite termica) per ala, ~60 g per ala: stima di primo ordine, nessuna fonte con massa (TBC)</t>
        </is>
      </c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>
        <v>1</v>
      </c>
      <c r="F25" s="31" t="n">
        <v>0.45</v>
      </c>
      <c r="G25" s="32">
        <f>IF(OR(E25="",F25=""),"",E25*F25)</f>
        <v/>
      </c>
      <c r="H25" s="30" t="inlineStr">
        <is>
          <t>Nuovo</t>
        </is>
      </c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Stima</t>
        </is>
      </c>
      <c r="L25" s="30" t="inlineStr">
        <is>
          <t>D-116, D-122</t>
        </is>
      </c>
      <c r="M25" s="30" t="inlineStr">
        <is>
          <t>MLI sul corpo ~0,26 m² × ~0,35 kg/m² ≈ 0,09 kg; radiatore Al 1 mm 600 cm² + vernice ≈ 0,17 kg; collegamenti termici e rinforzi ≈ 0,15 kg; riscaldatori, termostati e sensori ≈ 0,04 kg. Stima di primo ordine (A5.8.4), TBC</t>
        </is>
      </c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Giuliano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 | D-104: 50 W d'ingresso considerati comprensivi del riscaldamento dello iodio (non dato a parte nel datasheet), TBC con T4i; compatibilità con bus 12–16,8 V da verificare (D-109). D-112: acceso solo con SoC ≥ 90%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Giuliano</t>
        </is>
      </c>
      <c r="E18" s="36" t="n">
        <v>0.4</v>
      </c>
      <c r="F18" s="36" t="n">
        <v>0.4</v>
      </c>
      <c r="G18" s="36" t="n">
        <v>0.4</v>
      </c>
      <c r="H18" s="36" t="n">
        <v>0.4</v>
      </c>
      <c r="I18" s="36" t="n">
        <v>0.4</v>
      </c>
      <c r="J18" s="30" t="inlineStr">
        <is>
          <t>Catalogo</t>
        </is>
      </c>
      <c r="K18" s="33">
        <f>IF(J18="","",INDEX(Liste!$B$2:$B$4,MATCH(J18,Liste!$A$2:$A$4,0)))</f>
        <v/>
      </c>
      <c r="L18" s="30" t="inlineStr">
        <is>
          <t>Datasheet</t>
        </is>
      </c>
      <c r="M18" s="30" t="inlineStr">
        <is>
          <t>D-104</t>
        </is>
      </c>
      <c r="N18" s="30" t="inlineStr">
        <is>
          <t>Classe ISIS iOBC, 400 mW medi (TBC finché non si sceglie l'OBC, D-038)</t>
        </is>
      </c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0" t="inlineStr">
        <is>
          <t>Catalogo modificato</t>
        </is>
      </c>
      <c r="K19" s="33">
        <f>IF(J19="","",INDEX(Liste!$B$2:$B$4,MATCH(J19,Liste!$A$2:$A$4,0)))</f>
        <v/>
      </c>
      <c r="L19" s="30" t="inlineStr">
        <is>
          <t>Calcolo</t>
        </is>
      </c>
      <c r="M19" s="30" t="inlineStr">
        <is>
          <t>D-106, D-108</t>
        </is>
      </c>
      <c r="N19" s="30" t="inlineStr">
        <is>
          <t>Sorgente, non carico (0 W). 6 ali 226 × 454 mm, 9 celle Azur 3G30-Advanced ciascuna: 130 W a Sole perpendicolare a fine vita, 74,5 W medi in luce (k 0,575, D-106)</t>
        </is>
      </c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0" t="inlineStr">
        <is>
          <t>Catalogo</t>
        </is>
      </c>
      <c r="K20" s="33">
        <f>IF(J20="","",INDEX(Liste!$B$2:$B$4,MATCH(J20,Liste!$A$2:$A$4,0)))</f>
        <v/>
      </c>
      <c r="L20" s="30" t="inlineStr">
        <is>
          <t>Calcolo</t>
        </is>
      </c>
      <c r="M20" s="30" t="inlineStr">
        <is>
          <t>D-109, D-111</t>
        </is>
      </c>
      <c r="N20" s="30" t="inlineStr">
        <is>
          <t>Accumulo, non carico (0 W). Li-ion 4S3P, 12 celle 18650 2,6 Ah, 112 Wh, bus 12–16,8 V; scarica ≤ 25% a fine vita (≤ 35% con una stringa guasta), simulazione 20,4% / 30,7%</t>
        </is>
      </c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>
        <v>0.6</v>
      </c>
      <c r="F21" s="36" t="n">
        <v>0.6</v>
      </c>
      <c r="G21" s="36" t="n">
        <v>0.6</v>
      </c>
      <c r="H21" s="36" t="n">
        <v>0.6</v>
      </c>
      <c r="I21" s="36" t="n">
        <v>0.6</v>
      </c>
      <c r="J21" s="30" t="inlineStr">
        <is>
          <t>Catalogo</t>
        </is>
      </c>
      <c r="K21" s="33">
        <f>IF(J21="","",INDEX(Liste!$B$2:$B$4,MATCH(J21,Liste!$A$2:$A$4,0)))</f>
        <v/>
      </c>
      <c r="L21" s="30" t="inlineStr">
        <is>
          <t>Datasheet</t>
        </is>
      </c>
      <c r="M21" s="30" t="inlineStr">
        <is>
          <t>D-087, D-104</t>
        </is>
      </c>
      <c r="N21" s="30" t="inlineStr">
        <is>
          <t>Consumo a vuoto classe GomSpace NanoPower P60 (ACU-200 + PDU-200), 600 mW (TBC). Rendimento di conversione (~90% MPPT) a parte, nel dimensionamento dei pannelli</t>
        </is>
      </c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Giuliano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Giuliano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>
        <v>1.1</v>
      </c>
      <c r="F25" s="36" t="n">
        <v>1.1</v>
      </c>
      <c r="G25" s="36" t="n">
        <v>1.1</v>
      </c>
      <c r="H25" s="36" t="n">
        <v>1.1</v>
      </c>
      <c r="I25" s="36" t="n">
        <v>5.9</v>
      </c>
      <c r="J25" s="30" t="inlineStr">
        <is>
          <t>Nuovo</t>
        </is>
      </c>
      <c r="K25" s="33">
        <f>IF(J25="","",INDEX(Liste!$B$2:$B$4,MATCH(J25,Liste!$A$2:$A$4,0)))</f>
        <v/>
      </c>
      <c r="L25" s="30" t="inlineStr">
        <is>
          <t>Calcolo</t>
        </is>
      </c>
      <c r="M25" s="30" t="inlineStr">
        <is>
          <t>D-116, D-122, D-128, DR-68</t>
        </is>
      </c>
      <c r="N25" s="30" t="inlineStr">
        <is>
          <t>Modello a nodi A5.8.3 (a5_8_3_modello_nodi.py, radiatore 600 cm²): riprese, spinta e scarico 0,7 W = media del giorno peggiore di routine (fine maggio-giugno, 17 Wh/giorno; DR-68 ≤ 2,8 W); riposo/safe 5,7 W = giorno senza spinta, caso più freddo (137 Wh/giorno, picco 15 W); safe vero e proprio ~0,4 W. Riscaldatori della batteria compresi (D-104). Sostituisce l'allocazione 2,8/9 W di Giuliano (31/10/2026) | 31/10/2026: D-122 approvata da Giuliano (0,7 W nei modi operativi, 5,7 W in riposo = giorno senza spinta, 0,4 W in safe) | 31/10/2026 (A5.8.7, D-128, Proposta): con il layout L1b e le ali W1 (interno a due nodi) 1,1 W nei modi operativi (26 Wh/giorno) e 5,9 W in riposo (giorno senza spinta, 144 Wh/giorno); inviluppo delle sensibilità 2,0/7,0 W</t>
        </is>
      </c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 (A5.6, PULSE_EPS/A5.6; valori di calcolo, non formule)</t>
        </is>
      </c>
    </row>
    <row r="33">
      <c r="C33" s="43" t="inlineStr">
        <is>
          <t>Orbita: luce minima / eclisse massima (D-102)</t>
        </is>
      </c>
      <c r="D33" s="43" t="inlineStr">
        <is>
          <t>min</t>
        </is>
      </c>
      <c r="E33" s="43" t="inlineStr">
        <is>
          <t>54,5 / 36,0</t>
        </is>
      </c>
    </row>
    <row r="34">
      <c r="C34" s="43" t="inlineStr">
        <is>
          <t>Giorno di routine, Sole medio, con margini (A5.6.3)</t>
        </is>
      </c>
      <c r="D34" s="43" t="inlineStr">
        <is>
          <t>Wh/giorno</t>
        </is>
      </c>
      <c r="E34" s="43" t="inlineStr">
        <is>
          <t>809 (media 33,7 W)</t>
        </is>
      </c>
    </row>
    <row r="35">
      <c r="C35" s="43" t="inlineStr">
        <is>
          <t>Giorno di emergenza 2+2, con margini</t>
        </is>
      </c>
      <c r="D35" s="43" t="inlineStr">
        <is>
          <t>Wh/giorno</t>
        </is>
      </c>
      <c r="E35" s="43" t="inlineStr">
        <is>
          <t>814</t>
        </is>
      </c>
    </row>
    <row r="36">
      <c r="C36" s="43" t="inlineStr">
        <is>
          <t>Giorno con Sole alto (7,8 h di spinta), con margini</t>
        </is>
      </c>
      <c r="D36" s="43" t="inlineStr">
        <is>
          <t>Wh/giorno</t>
        </is>
      </c>
      <c r="E36" s="43" t="inlineStr">
        <is>
          <t>1050 (non coperto: R-56, regola D-112)</t>
        </is>
      </c>
    </row>
    <row r="37">
      <c r="C37" s="43" t="inlineStr">
        <is>
          <t>Pannelli 6 ali, medi in luce a fine vita (D-106, D-108)</t>
        </is>
      </c>
      <c r="D37" s="43" t="inlineStr">
        <is>
          <t>W</t>
        </is>
      </c>
      <c r="E37" s="43" t="inlineStr">
        <is>
          <t>74,5 (130 a Sole perpendicolare)</t>
        </is>
      </c>
    </row>
    <row r="38">
      <c r="C38" s="43" t="inlineStr">
        <is>
          <t>Batteria 4S3P: stato di carica minimo routine / con una stringa guasta (A5.6.7)</t>
        </is>
      </c>
      <c r="D38" s="43" t="inlineStr">
        <is>
          <t>%</t>
        </is>
      </c>
      <c r="E38" s="43" t="inlineStr">
        <is>
          <t>79,6 / 69,3</t>
        </is>
      </c>
    </row>
    <row r="39">
      <c r="C39" s="43" t="inlineStr">
        <is>
          <t>Avanzo di energia, routine (A5.6.7)</t>
        </is>
      </c>
      <c r="D39" s="43" t="inlineStr">
        <is>
          <t>Wh/giorno</t>
        </is>
      </c>
      <c r="E39" s="43" t="inlineStr">
        <is>
          <t>136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247</v>
      </c>
      <c r="G2" s="40">
        <f>IF(OR(D2="",E2="",F2=""),"",D2*E2*F2/1000000)</f>
        <v/>
      </c>
      <c r="H2" s="21" t="inlineStr">
        <is>
          <t>Stima</t>
        </is>
      </c>
      <c r="I2" s="30" t="inlineStr">
        <is>
          <t>D-034, D-117</t>
        </is>
      </c>
      <c r="J2" s="30" t="inlineStr">
        <is>
          <t>Due blocchi (D-117): motore + elettronica con ugello su −X e serbatoio separato, 2,2U in tutto (EarthNext Tab. 3). Z = somma delle profondità dei due blocchi a pari sezione (2,2 L / (93,8 × 95 mm)); ripartizione TBC (ICD T4i). Fetta disponibile su −X con D-118: ~86 mm (~126 mm con la sporgenza)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123.6</v>
      </c>
      <c r="E4" s="30" t="n">
        <v>123.6</v>
      </c>
      <c r="F4" s="30" t="n">
        <v>123.6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 | 31/10/2026 (D-123): star tracker con paraluce corto (0,47 L invece di 2,35 L): cubo equivalente 1,89 L (lato 123,6 mm)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Giuliano</t>
        </is>
      </c>
      <c r="D7" s="30" t="n">
        <v>96</v>
      </c>
      <c r="E7" s="30" t="n">
        <v>90</v>
      </c>
      <c r="F7" s="30" t="n">
        <v>12.4</v>
      </c>
      <c r="G7" s="40">
        <f>IF(OR(D7="",E7="",F7=""),"",D7*E7*F7/1000000)</f>
        <v/>
      </c>
      <c r="H7" s="21" t="inlineStr">
        <is>
          <t>Datasheet</t>
        </is>
      </c>
      <c r="I7" s="30" t="inlineStr">
        <is>
          <t>D-104, D-121</t>
        </is>
      </c>
      <c r="J7" s="30" t="inlineStr">
        <is>
          <t>Classe ISIS iOBC (formato PC104)</t>
        </is>
      </c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Giuliano</t>
        </is>
      </c>
      <c r="D8" s="30" t="n">
        <v>92</v>
      </c>
      <c r="E8" s="30" t="n">
        <v>89</v>
      </c>
      <c r="F8" s="30" t="n">
        <v>90.90000000000001</v>
      </c>
      <c r="G8" s="40">
        <f>IF(OR(D8="",E8="",F8=""),"",D8*E8*F8/1000000)</f>
        <v/>
      </c>
      <c r="H8" s="21" t="inlineStr">
        <is>
          <t>Stima</t>
        </is>
      </c>
      <c r="I8" s="30" t="inlineStr">
        <is>
          <t>D-104, D-109, D-121</t>
        </is>
      </c>
      <c r="J8" s="30" t="inlineStr">
        <is>
          <t>Pila PC104: PCDU P60 92 × 88,9 × 28,9 mm + batteria 4S3P ~93 × 86 × 62 mm (stima scalata da GomSpace BPX 93 × 86 × 41 per 8 celle). Altezza = somma</t>
        </is>
      </c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2026-10-31T16:56:17Z</dcterms:modified>
  <cp:revision>0</cp:revision>
</cp:coreProperties>
</file>