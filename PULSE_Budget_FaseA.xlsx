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3"/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2"/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in A5.6.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0" t="n">
        <v>1</v>
      </c>
      <c r="F12" s="31" t="n"/>
      <c r="G12" s="32">
        <f>IF(OR(E12="",F12=""),"",E12*F12)</f>
        <v/>
      </c>
      <c r="H12" s="30" t="n"/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TBD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/>
      <c r="G13" s="32">
        <f>IF(OR(E13="",F13=""),"",E13*F13)</f>
        <v/>
      </c>
      <c r="H13" s="30" t="n"/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TBD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/>
      <c r="G14" s="32">
        <f>IF(OR(E14="",F14=""),"",E14*F14)</f>
        <v/>
      </c>
      <c r="H14" s="30" t="n"/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TBD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0" t="n"/>
      <c r="F15" s="31" t="n"/>
      <c r="G15" s="32">
        <f>IF(OR(E15="",F15=""),"",E15*F15)</f>
        <v/>
      </c>
      <c r="H15" s="30" t="n"/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TBD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0" t="n">
        <v>1</v>
      </c>
      <c r="F16" s="31" t="n"/>
      <c r="G16" s="32">
        <f>IF(OR(E16="",F16=""),"",E16*F16)</f>
        <v/>
      </c>
      <c r="H16" s="30" t="n"/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TBD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0" t="n"/>
      <c r="F17" s="31" t="n"/>
      <c r="G17" s="32">
        <f>IF(OR(E17="",F17=""),"",E17*F17)</f>
        <v/>
      </c>
      <c r="H17" s="30" t="n"/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TBD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/>
      <c r="F24" s="31" t="n"/>
      <c r="G24" s="32">
        <f>IF(OR(E24="",F24=""),"",E24*F24)</f>
        <v/>
      </c>
      <c r="H24" s="30" t="n"/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TBD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7"/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TMA (specchi + struttura ottica)</t>
        </is>
      </c>
      <c r="D12" s="30" t="inlineStr">
        <is>
          <t>Giuseppe</t>
        </is>
      </c>
      <c r="E12" s="36" t="n"/>
      <c r="F12" s="36" t="n"/>
      <c r="G12" s="36" t="n"/>
      <c r="H12" s="36" t="n"/>
      <c r="I12" s="36" t="n"/>
      <c r="J12" s="30" t="n"/>
      <c r="K12" s="33">
        <f>IF(J12="","",INDEX(Liste!$B$2:$B$4,MATCH(J12,Liste!$A$2:$A$4,0)))</f>
        <v/>
      </c>
      <c r="L12" s="30" t="inlineStr">
        <is>
          <t>TBD</t>
        </is>
      </c>
      <c r="M12" s="30" t="n"/>
      <c r="N12" s="30" t="n"/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/>
      <c r="F13" s="36" t="n"/>
      <c r="G13" s="36" t="n"/>
      <c r="H13" s="36" t="n"/>
      <c r="I13" s="36" t="n"/>
      <c r="J13" s="30" t="n"/>
      <c r="K13" s="33">
        <f>IF(J13="","",INDEX(Liste!$B$2:$B$4,MATCH(J13,Liste!$A$2:$A$4,0)))</f>
        <v/>
      </c>
      <c r="L13" s="30" t="inlineStr">
        <is>
          <t>TBD</t>
        </is>
      </c>
      <c r="M13" s="30" t="n"/>
      <c r="N13" s="30" t="n"/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/>
      <c r="F14" s="36" t="n"/>
      <c r="G14" s="36" t="n"/>
      <c r="H14" s="36" t="n"/>
      <c r="I14" s="36" t="n"/>
      <c r="J14" s="30" t="n"/>
      <c r="K14" s="33">
        <f>IF(J14="","",INDEX(Liste!$B$2:$B$4,MATCH(J14,Liste!$A$2:$A$4,0)))</f>
        <v/>
      </c>
      <c r="L14" s="30" t="inlineStr">
        <is>
          <t>TBD</t>
        </is>
      </c>
      <c r="M14" s="30" t="n"/>
      <c r="N14" s="30" t="n"/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/>
      <c r="F15" s="36" t="n"/>
      <c r="G15" s="36" t="n"/>
      <c r="H15" s="36" t="n"/>
      <c r="I15" s="36" t="n"/>
      <c r="J15" s="30" t="n"/>
      <c r="K15" s="33">
        <f>IF(J15="","",INDEX(Liste!$B$2:$B$4,MATCH(J15,Liste!$A$2:$A$4,0)))</f>
        <v/>
      </c>
      <c r="L15" s="30" t="inlineStr">
        <is>
          <t>TBD</t>
        </is>
      </c>
      <c r="M15" s="30" t="n"/>
      <c r="N15" s="30" t="n"/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/>
      <c r="F16" s="36" t="n"/>
      <c r="G16" s="36" t="n"/>
      <c r="H16" s="36" t="n"/>
      <c r="I16" s="36" t="n"/>
      <c r="J16" s="30" t="n"/>
      <c r="K16" s="33">
        <f>IF(J16="","",INDEX(Liste!$B$2:$B$4,MATCH(J16,Liste!$A$2:$A$4,0)))</f>
        <v/>
      </c>
      <c r="L16" s="30" t="inlineStr">
        <is>
          <t>TBD</t>
        </is>
      </c>
      <c r="M16" s="30" t="n"/>
      <c r="N16" s="30" t="n"/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/>
      <c r="F17" s="36" t="n"/>
      <c r="G17" s="36" t="n"/>
      <c r="H17" s="36" t="n"/>
      <c r="I17" s="36" t="n"/>
      <c r="J17" s="30" t="n"/>
      <c r="K17" s="33">
        <f>IF(J17="","",INDEX(Liste!$B$2:$B$4,MATCH(J17,Liste!$A$2:$A$4,0)))</f>
        <v/>
      </c>
      <c r="L17" s="30" t="inlineStr">
        <is>
          <t>TBD</t>
        </is>
      </c>
      <c r="M17" s="30" t="n"/>
      <c r="N17" s="30" t="n"/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/>
      <c r="F18" s="36" t="n"/>
      <c r="G18" s="36" t="n"/>
      <c r="H18" s="36" t="n"/>
      <c r="I18" s="36" t="n"/>
      <c r="J18" s="30" t="n"/>
      <c r="K18" s="33">
        <f>IF(J18="","",INDEX(Liste!$B$2:$B$4,MATCH(J18,Liste!$A$2:$A$4,0)))</f>
        <v/>
      </c>
      <c r="L18" s="30" t="inlineStr">
        <is>
          <t>TBD</t>
        </is>
      </c>
      <c r="M18" s="30" t="n"/>
      <c r="N18" s="30" t="n"/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TBC</t>
        </is>
      </c>
      <c r="E19" s="36" t="n"/>
      <c r="F19" s="36" t="n"/>
      <c r="G19" s="36" t="n"/>
      <c r="H19" s="36" t="n"/>
      <c r="I19" s="36" t="n"/>
      <c r="J19" s="30" t="n"/>
      <c r="K19" s="33">
        <f>IF(J19="","",INDEX(Liste!$B$2:$B$4,MATCH(J19,Liste!$A$2:$A$4,0)))</f>
        <v/>
      </c>
      <c r="L19" s="30" t="inlineStr">
        <is>
          <t>TBD</t>
        </is>
      </c>
      <c r="M19" s="30" t="n"/>
      <c r="N19" s="30" t="n"/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TBC</t>
        </is>
      </c>
      <c r="E20" s="36" t="n"/>
      <c r="F20" s="36" t="n"/>
      <c r="G20" s="36" t="n"/>
      <c r="H20" s="36" t="n"/>
      <c r="I20" s="36" t="n"/>
      <c r="J20" s="30" t="n"/>
      <c r="K20" s="33">
        <f>IF(J20="","",INDEX(Liste!$B$2:$B$4,MATCH(J20,Liste!$A$2:$A$4,0)))</f>
        <v/>
      </c>
      <c r="L20" s="30" t="inlineStr">
        <is>
          <t>TBD</t>
        </is>
      </c>
      <c r="M20" s="30" t="n"/>
      <c r="N20" s="30" t="n"/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TBC</t>
        </is>
      </c>
      <c r="E21" s="36" t="n"/>
      <c r="F21" s="36" t="n"/>
      <c r="G21" s="36" t="n"/>
      <c r="H21" s="36" t="n"/>
      <c r="I21" s="36" t="n"/>
      <c r="J21" s="30" t="n"/>
      <c r="K21" s="33">
        <f>IF(J21="","",INDEX(Liste!$B$2:$B$4,MATCH(J21,Liste!$A$2:$A$4,0)))</f>
        <v/>
      </c>
      <c r="L21" s="30" t="inlineStr">
        <is>
          <t>TBD</t>
        </is>
      </c>
      <c r="M21" s="30" t="n"/>
      <c r="N21" s="30" t="n"/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/>
      <c r="F24" s="36" t="n"/>
      <c r="G24" s="36" t="n"/>
      <c r="H24" s="36" t="n"/>
      <c r="I24" s="36" t="n"/>
      <c r="J24" s="30" t="n"/>
      <c r="K24" s="33">
        <f>IF(J24="","",INDEX(Liste!$B$2:$B$4,MATCH(J24,Liste!$A$2:$A$4,0)))</f>
        <v/>
      </c>
      <c r="L24" s="30" t="inlineStr">
        <is>
          <t>TBD</t>
        </is>
      </c>
      <c r="M24" s="30" t="n"/>
      <c r="N24" s="30" t="n"/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TBC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n"/>
    </row>
    <row r="26"/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1"/>
    <row r="32" ht="23.85" customHeight="1" s="22">
      <c r="C32" s="38" t="inlineStr">
        <is>
          <t>Media sull'orbita e profilo eclisse/luce: da A5.6 (TBD)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8"/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TMA</t>
        </is>
      </c>
      <c r="C3" s="30" t="inlineStr">
        <is>
          <t>Giuseppe</t>
        </is>
      </c>
      <c r="D3" s="30" t="n"/>
      <c r="E3" s="30" t="n"/>
      <c r="F3" s="30" t="n"/>
      <c r="G3" s="40">
        <f>IF(OR(D3="",E3="",F3=""),"",D3*E3*F3/1000000)</f>
        <v/>
      </c>
      <c r="I3" s="30" t="inlineStr">
        <is>
          <t>R-01</t>
        </is>
      </c>
      <c r="J3" s="30" t="n"/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/>
      <c r="E6" s="30" t="n"/>
      <c r="F6" s="30" t="n"/>
      <c r="G6" s="40">
        <f>IF(OR(D6="",E6="",F6=""),"",D6*E6*F6/1000000)</f>
        <v/>
      </c>
      <c r="I6" s="30" t="inlineStr">
        <is>
          <t>A5</t>
        </is>
      </c>
      <c r="J6" s="30" t="n"/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TBC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9"/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2026-10-30T11:17:13Z</dcterms:modified>
  <cp:revision>0</cp:revision>
</cp:coreProperties>
</file>