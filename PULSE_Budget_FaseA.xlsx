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Parametri" sheetId="2" state="visible" r:id="rId4"/>
    <sheet name="Massa" sheetId="3" state="visible" r:id="rId5"/>
    <sheet name="Potenza" sheetId="4" state="visible" r:id="rId6"/>
    <sheet name="Dati" sheetId="5" state="visible" r:id="rId7"/>
    <sheet name="Volume" sheetId="6" state="visible" r:id="rId8"/>
    <sheet name="Lis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<sst xmlns="http://schemas.openxmlformats.org/spreadsheetml/2006/main" count="468" uniqueCount="238">
  <si>
    <t xml:space="preserve">PULSE – Budget di Fase A</t>
  </si>
  <si>
    <t xml:space="preserve">Giuliano Pennacchio · Giuseppe Parisi — creato il 23/10/2026 (A5.1), regole D-035 e D-036</t>
  </si>
  <si>
    <t xml:space="preserve">Come si usa</t>
  </si>
  <si>
    <t xml:space="preserve">Celle gialle, testo blu</t>
  </si>
  <si>
    <t xml:space="preserve">Valori da inserire. Le celle bianche con testo nero sono formule: non sovrascriverle.</t>
  </si>
  <si>
    <t xml:space="preserve">Un file, una persona alla volta</t>
  </si>
  <si>
    <t xml:space="preserve">git pull prima di aprire; commit + push subito dopo (come il registro).</t>
  </si>
  <si>
    <t xml:space="preserve">Ogni riga</t>
  </si>
  <si>
    <t xml:space="preserve">Responsabile, maturità (Catalogo 5% · Catalogo modificato 10% · Nuovo 20%), origine del numero (Datasheet, Calcolo, Stima, TBC, TBD) e riferimento alla decisione.</t>
  </si>
  <si>
    <t xml:space="preserve">Margine di sistema</t>
  </si>
  <si>
    <t xml:space="preserve">20% sopra la somma con margini per voce (D-035), nel foglio Parametri.</t>
  </si>
  <si>
    <t xml:space="preserve">Limiti di massa</t>
  </si>
  <si>
    <t xml:space="preserve">Obiettivo ≤ 32 kg, massimo ≤ 36 kg al rilascio, propellente pieno e margini compresi (D-036).</t>
  </si>
  <si>
    <t xml:space="preserve">Responsabile TBC</t>
  </si>
  <si>
    <t xml:space="preserve">Voci di piattaforma da assegnare sotto-passo per sotto-passo (D-038, Aperta).</t>
  </si>
  <si>
    <t xml:space="preserve">Riga d'esempio</t>
  </si>
  <si>
    <t xml:space="preserve">M-08 / P-08 / V-01: unità propulsiva REGULUS-50-I2 Large (A5.2, D-034).</t>
  </si>
  <si>
    <t xml:space="preserve">Fogli</t>
  </si>
  <si>
    <t xml:space="preserve">Parametri</t>
  </si>
  <si>
    <t xml:space="preserve">Margini e limiti di riferimento.</t>
  </si>
  <si>
    <t xml:space="preserve">Massa</t>
  </si>
  <si>
    <t xml:space="preserve">Budget di massa con margini e verifica dei limiti.</t>
  </si>
  <si>
    <t xml:space="preserve">Potenza</t>
  </si>
  <si>
    <t xml:space="preserve">Consumi per modo operativo; media sull'orbita in A5.6.</t>
  </si>
  <si>
    <t xml:space="preserve">Dati</t>
  </si>
  <si>
    <t xml:space="preserve">Volumi per prodotto e al giorno; capacità di scarico da A5.5.</t>
  </si>
  <si>
    <t xml:space="preserve">Volume</t>
  </si>
  <si>
    <t xml:space="preserve">Ingombri e confronto con l'involucro EXOpod Nova.</t>
  </si>
  <si>
    <t xml:space="preserve">Liste</t>
  </si>
  <si>
    <t xml:space="preserve">Valori dei menu a tendina.</t>
  </si>
  <si>
    <t xml:space="preserve">Parametro</t>
  </si>
  <si>
    <t xml:space="preserve">Valore</t>
  </si>
  <si>
    <t xml:space="preserve">Unità</t>
  </si>
  <si>
    <t xml:space="preserve">Origine</t>
  </si>
  <si>
    <t xml:space="preserve">Margine di sistema (massa e potenza)</t>
  </si>
  <si>
    <t xml:space="preserve">—</t>
  </si>
  <si>
    <t xml:space="preserve">D-035 (ESA TEC-SY/77/2016)</t>
  </si>
  <si>
    <t xml:space="preserve">Cablaggi, quota minima della massa secca nominale</t>
  </si>
  <si>
    <t xml:space="preserve">D-035</t>
  </si>
  <si>
    <t xml:space="preserve">Residui di propellente</t>
  </si>
  <si>
    <t xml:space="preserve">Margine volume serbatoio</t>
  </si>
  <si>
    <t xml:space="preserve">Margine RAM / uso massimo processore</t>
  </si>
  <si>
    <t xml:space="preserve">Obiettivo di massa al rilascio</t>
  </si>
  <si>
    <t xml:space="preserve">kg</t>
  </si>
  <si>
    <t xml:space="preserve">D-036</t>
  </si>
  <si>
    <t xml:space="preserve">Massimo di massa al rilascio</t>
  </si>
  <si>
    <t xml:space="preserve">D-036 (EXOpod Nova, SMPOD16C)</t>
  </si>
  <si>
    <t xml:space="preserve">Involucro binari X</t>
  </si>
  <si>
    <t xml:space="preserve">mm</t>
  </si>
  <si>
    <t xml:space="preserve">D-036 (manuale EXOpod Nova 03/2024)</t>
  </si>
  <si>
    <t xml:space="preserve">Involucro binari Y</t>
  </si>
  <si>
    <t xml:space="preserve">Involucro binari Z</t>
  </si>
  <si>
    <t xml:space="preserve">Sporgenza massima laterale</t>
  </si>
  <si>
    <t xml:space="preserve">D-036 (da usare solo se necessario)</t>
  </si>
  <si>
    <t xml:space="preserve">Baricentro, scostamento max X / Y</t>
  </si>
  <si>
    <t xml:space="preserve">DR-14</t>
  </si>
  <si>
    <t xml:space="preserve">Baricentro, scostamento max Z</t>
  </si>
  <si>
    <t xml:space="preserve">ID</t>
  </si>
  <si>
    <t xml:space="preserve">Sottosistema</t>
  </si>
  <si>
    <t xml:space="preserve">Voce</t>
  </si>
  <si>
    <t xml:space="preserve">Resp.</t>
  </si>
  <si>
    <t xml:space="preserve">Q.tà</t>
  </si>
  <si>
    <t xml:space="preserve">Massa unitaria nominale (kg)</t>
  </si>
  <si>
    <t xml:space="preserve">Massa nominale (kg)</t>
  </si>
  <si>
    <t xml:space="preserve">Maturità</t>
  </si>
  <si>
    <t xml:space="preserve">Margine voce</t>
  </si>
  <si>
    <t xml:space="preserve">Massa con margine (kg)</t>
  </si>
  <si>
    <t xml:space="preserve">Riferimento</t>
  </si>
  <si>
    <t xml:space="preserve">Note</t>
  </si>
  <si>
    <t xml:space="preserve">M-01</t>
  </si>
  <si>
    <t xml:space="preserve">ADCS / GNC</t>
  </si>
  <si>
    <t xml:space="preserve">Ruote di reazione</t>
  </si>
  <si>
    <t xml:space="preserve">Giuliano</t>
  </si>
  <si>
    <t xml:space="preserve">TBD</t>
  </si>
  <si>
    <t xml:space="preserve">M-02</t>
  </si>
  <si>
    <t xml:space="preserve">Star tracker</t>
  </si>
  <si>
    <t xml:space="preserve">M-03</t>
  </si>
  <si>
    <t xml:space="preserve">Giroscopi / IMU</t>
  </si>
  <si>
    <t xml:space="preserve">M-04</t>
  </si>
  <si>
    <t xml:space="preserve">Magnetorquer</t>
  </si>
  <si>
    <t xml:space="preserve">M-05</t>
  </si>
  <si>
    <t xml:space="preserve">Magnetometro</t>
  </si>
  <si>
    <t xml:space="preserve">M-06</t>
  </si>
  <si>
    <t xml:space="preserve">Sensori solari</t>
  </si>
  <si>
    <t xml:space="preserve">M-07</t>
  </si>
  <si>
    <t xml:space="preserve">Ricevitore GNSS + antenna</t>
  </si>
  <si>
    <t xml:space="preserve">M-08</t>
  </si>
  <si>
    <t xml:space="preserve">Propulsione</t>
  </si>
  <si>
    <t xml:space="preserve">Unità REGULUS-50-I2 Large (a pieno carico di iodio)</t>
  </si>
  <si>
    <t xml:space="preserve">Catalogo</t>
  </si>
  <si>
    <t xml:space="preserve">Datasheet</t>
  </si>
  <si>
    <t xml:space="preserve">D-034</t>
  </si>
  <si>
    <t xml:space="preserve">Valore prudente T4I (l'altra tabella dà 5,1 kg). Include ~2,0 kg di capacità di iodio: margine voce e di sistema applicati anche al propellente (prudente)</t>
  </si>
  <si>
    <t xml:space="preserve">M-09</t>
  </si>
  <si>
    <t xml:space="preserve">TT&amp;C</t>
  </si>
  <si>
    <t xml:space="preserve">Radio TT&amp;C (bande da A5.5)</t>
  </si>
  <si>
    <t xml:space="preserve">M-10</t>
  </si>
  <si>
    <t xml:space="preserve">Antenne TT&amp;C</t>
  </si>
  <si>
    <t xml:space="preserve">M-11</t>
  </si>
  <si>
    <t xml:space="preserve">Payload</t>
  </si>
  <si>
    <t xml:space="preserve">Telescopio TMA (specchi + struttura ottica)</t>
  </si>
  <si>
    <t xml:space="preserve">Giuseppe</t>
  </si>
  <si>
    <t xml:space="preserve">M-12</t>
  </si>
  <si>
    <t xml:space="preserve">Sensore diurno CMOS + elettronica</t>
  </si>
  <si>
    <t xml:space="preserve">M-13</t>
  </si>
  <si>
    <t xml:space="preserve">Sensore notturno sCMOS + elettronica</t>
  </si>
  <si>
    <t xml:space="preserve">M-14</t>
  </si>
  <si>
    <t xml:space="preserve">Deflettori / coperchio apertura</t>
  </si>
  <si>
    <t xml:space="preserve">M-15</t>
  </si>
  <si>
    <t xml:space="preserve">Elaborazione</t>
  </si>
  <si>
    <t xml:space="preserve">Scheda AI / elaborazione payload</t>
  </si>
  <si>
    <t xml:space="preserve">M-16</t>
  </si>
  <si>
    <t xml:space="preserve">Memoria di massa</t>
  </si>
  <si>
    <t xml:space="preserve">M-17</t>
  </si>
  <si>
    <t xml:space="preserve">OBC</t>
  </si>
  <si>
    <t xml:space="preserve">Computer di bordo di piattaforma</t>
  </si>
  <si>
    <t xml:space="preserve">TBC</t>
  </si>
  <si>
    <t xml:space="preserve">M-18</t>
  </si>
  <si>
    <t xml:space="preserve">EPS</t>
  </si>
  <si>
    <t xml:space="preserve">Pannelli solari</t>
  </si>
  <si>
    <t xml:space="preserve">M-19</t>
  </si>
  <si>
    <t xml:space="preserve">Batterie</t>
  </si>
  <si>
    <t xml:space="preserve">M-20</t>
  </si>
  <si>
    <t xml:space="preserve">Distribuzione (PCDU)</t>
  </si>
  <si>
    <t xml:space="preserve">M-21</t>
  </si>
  <si>
    <t xml:space="preserve">Struttura</t>
  </si>
  <si>
    <t xml:space="preserve">Telaio 16U</t>
  </si>
  <si>
    <t xml:space="preserve">M-22</t>
  </si>
  <si>
    <t xml:space="preserve">Meccanismi (apertura pannelli)</t>
  </si>
  <si>
    <t xml:space="preserve">M-23</t>
  </si>
  <si>
    <t xml:space="preserve">Termico</t>
  </si>
  <si>
    <t xml:space="preserve">Termico payload (riscaldatori, MLI)</t>
  </si>
  <si>
    <t xml:space="preserve">M-24</t>
  </si>
  <si>
    <t xml:space="preserve">Termico piattaforma</t>
  </si>
  <si>
    <t xml:space="preserve">M-25</t>
  </si>
  <si>
    <t xml:space="preserve">Cablaggi</t>
  </si>
  <si>
    <t xml:space="preserve">Cablaggi (quota della massa nominale)</t>
  </si>
  <si>
    <t xml:space="preserve">Nuovo</t>
  </si>
  <si>
    <t xml:space="preserve">Calcolo</t>
  </si>
  <si>
    <t xml:space="preserve">Calcolata: 5% della somma delle masse nominali (regola ESA ≥ 5% della massa secca)</t>
  </si>
  <si>
    <t xml:space="preserve">Somma masse nominali (kg)</t>
  </si>
  <si>
    <t xml:space="preserve">Somma masse con margine voce (kg)</t>
  </si>
  <si>
    <t xml:space="preserve">Margine di sistema (kg)</t>
  </si>
  <si>
    <t xml:space="preserve">Massa al rilascio con margini (kg)</t>
  </si>
  <si>
    <t xml:space="preserve">Obiettivo (kg)</t>
  </si>
  <si>
    <t xml:space="preserve">Massimo (kg)</t>
  </si>
  <si>
    <t xml:space="preserve">Riserva verso l'obiettivo (kg)</t>
  </si>
  <si>
    <t xml:space="preserve">Riserva verso il massimo (kg)</t>
  </si>
  <si>
    <t xml:space="preserve">Esito</t>
  </si>
  <si>
    <t xml:space="preserve">Voci con responsabile TBC</t>
  </si>
  <si>
    <t xml:space="preserve">Ripresa diurna (W nom.)</t>
  </si>
  <si>
    <t xml:space="preserve">Ripresa notturna (W nom.)</t>
  </si>
  <si>
    <t xml:space="preserve">Spinta (W nom.)</t>
  </si>
  <si>
    <t xml:space="preserve">Scarico dati (W nom.)</t>
  </si>
  <si>
    <t xml:space="preserve">Riposo / safe (W nom.)</t>
  </si>
  <si>
    <t xml:space="preserve">P-01</t>
  </si>
  <si>
    <t xml:space="preserve">P-02</t>
  </si>
  <si>
    <t xml:space="preserve">P-03</t>
  </si>
  <si>
    <t xml:space="preserve">P-04</t>
  </si>
  <si>
    <t xml:space="preserve">P-05</t>
  </si>
  <si>
    <t xml:space="preserve">P-06</t>
  </si>
  <si>
    <t xml:space="preserve">P-07</t>
  </si>
  <si>
    <t xml:space="preserve">P-08</t>
  </si>
  <si>
    <t xml:space="preserve">Spinta 50 W nominali (30–60 W). Inviluppo di picco 75 W (BIT-3, D-034). Riscaldamento e mantenimento in temperatura dello iodio: TBD. ESA: per l'elettronica EP il margine voce va solo sulla potenza dissipata</t>
  </si>
  <si>
    <t xml:space="preserve">P-09</t>
  </si>
  <si>
    <t xml:space="preserve">P-10</t>
  </si>
  <si>
    <t xml:space="preserve">P-11</t>
  </si>
  <si>
    <t xml:space="preserve">P-12</t>
  </si>
  <si>
    <t xml:space="preserve">P-13</t>
  </si>
  <si>
    <t xml:space="preserve">P-14</t>
  </si>
  <si>
    <t xml:space="preserve">P-15</t>
  </si>
  <si>
    <t xml:space="preserve">P-16</t>
  </si>
  <si>
    <t xml:space="preserve">P-17</t>
  </si>
  <si>
    <t xml:space="preserve">P-18</t>
  </si>
  <si>
    <t xml:space="preserve">P-19</t>
  </si>
  <si>
    <t xml:space="preserve">P-20</t>
  </si>
  <si>
    <t xml:space="preserve">P-21</t>
  </si>
  <si>
    <t xml:space="preserve">P-22</t>
  </si>
  <si>
    <t xml:space="preserve">P-23</t>
  </si>
  <si>
    <t xml:space="preserve">P-24</t>
  </si>
  <si>
    <t xml:space="preserve">Somma nominale (W)</t>
  </si>
  <si>
    <t xml:space="preserve">Somma con margine voce (W)</t>
  </si>
  <si>
    <t xml:space="preserve">Margine di sistema (W)</t>
  </si>
  <si>
    <t xml:space="preserve">Totale con margini (W)</t>
  </si>
  <si>
    <t xml:space="preserve">Media sull'orbita e profilo eclisse/luce: da A5.6 (TBD)</t>
  </si>
  <si>
    <t xml:space="preserve">Prodotto</t>
  </si>
  <si>
    <t xml:space="preserve">Dimensione per unità (MB)</t>
  </si>
  <si>
    <t xml:space="preserve">Unità al giorno</t>
  </si>
  <si>
    <t xml:space="preserve">Volume al giorno (MB)</t>
  </si>
  <si>
    <t xml:space="preserve">D-01</t>
  </si>
  <si>
    <t xml:space="preserve">Immagine notturna 9,8 × 9,8 km, binning 1×1 (12 bit)</t>
  </si>
  <si>
    <t xml:space="preserve">Report A3 / D-031</t>
  </si>
  <si>
    <t xml:space="preserve">D-02</t>
  </si>
  <si>
    <t xml:space="preserve">Immagine notturna 9,8 × 9,8 km, binning 2×2 (12 bit)</t>
  </si>
  <si>
    <t xml:space="preserve">D-03</t>
  </si>
  <si>
    <t xml:space="preserve">Immagine notturna 9,8 × 9,8 km, binning 3×3 (12 bit)</t>
  </si>
  <si>
    <t xml:space="preserve">D-04</t>
  </si>
  <si>
    <t xml:space="preserve">Immagine diurna PAN + RGB-NIR (dopo somma TDI)</t>
  </si>
  <si>
    <t xml:space="preserve">A5 (Giuseppe)</t>
  </si>
  <si>
    <t xml:space="preserve">D-05</t>
  </si>
  <si>
    <t xml:space="preserve">Vettori GIS + ritaglio per allarme</t>
  </si>
  <si>
    <t xml:space="preserve">MR-09</t>
  </si>
  <si>
    <t xml:space="preserve">D-06</t>
  </si>
  <si>
    <t xml:space="preserve">Telemetria di piattaforma</t>
  </si>
  <si>
    <t xml:space="preserve">A5.5 (Giuliano)</t>
  </si>
  <si>
    <t xml:space="preserve">Volume giornaliero totale (MB)</t>
  </si>
  <si>
    <t xml:space="preserve">Capacità di scarico al giorno (MB): da A5.5 (TBD)</t>
  </si>
  <si>
    <t xml:space="preserve">Memoria di bordo: margine RAM ≥ 50%, processore ≤ 50% (D-035)</t>
  </si>
  <si>
    <t xml:space="preserve">X (mm)</t>
  </si>
  <si>
    <t xml:space="preserve">Y (mm)</t>
  </si>
  <si>
    <t xml:space="preserve">Z (mm)</t>
  </si>
  <si>
    <t xml:space="preserve">Volume ingombro (L)</t>
  </si>
  <si>
    <t xml:space="preserve">V-01</t>
  </si>
  <si>
    <t xml:space="preserve">Unità propulsiva REGULUS-50-I2 Large</t>
  </si>
  <si>
    <t xml:space="preserve">Valore prudente (l'altra tabella T4I dà 200 mm)</t>
  </si>
  <si>
    <t xml:space="preserve">V-02</t>
  </si>
  <si>
    <t xml:space="preserve">Telescopio TMA</t>
  </si>
  <si>
    <t xml:space="preserve">R-01</t>
  </si>
  <si>
    <t xml:space="preserve">V-03</t>
  </si>
  <si>
    <t xml:space="preserve">ADCS</t>
  </si>
  <si>
    <t xml:space="preserve">A5.3</t>
  </si>
  <si>
    <t xml:space="preserve">V-04</t>
  </si>
  <si>
    <t xml:space="preserve">A5.5</t>
  </si>
  <si>
    <t xml:space="preserve">V-05</t>
  </si>
  <si>
    <t xml:space="preserve">Elaborazione payload</t>
  </si>
  <si>
    <t xml:space="preserve">A5</t>
  </si>
  <si>
    <t xml:space="preserve">V-06</t>
  </si>
  <si>
    <t xml:space="preserve">V-07</t>
  </si>
  <si>
    <t xml:space="preserve">EPS (batterie, PCDU)</t>
  </si>
  <si>
    <t xml:space="preserve">Volume usato (L)</t>
  </si>
  <si>
    <t xml:space="preserve">Involucro lordo tra i binari (L), struttura compresa</t>
  </si>
  <si>
    <t xml:space="preserve">Rapporto usato / lordo</t>
  </si>
  <si>
    <t xml:space="preserve">Volume interno utile: TBD (da A5.7). ESA: nessuna % fissa, si segue il rapporto usato/disponibile</t>
  </si>
  <si>
    <t xml:space="preserve">Margine</t>
  </si>
  <si>
    <t xml:space="preserve">Responsabile</t>
  </si>
  <si>
    <t xml:space="preserve">Catalogo modificato</t>
  </si>
  <si>
    <t xml:space="preserve">Stima</t>
  </si>
  <si>
    <t xml:space="preserve">Entrambi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</si>
</sst>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0.000"/>
    <numFmt numFmtId="167" formatCode="0.00"/>
    <numFmt numFmtId="168" formatCode="0.0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  <c r="B5" s="3" t="s">
        <v>4</v>
      </c>
    </row>
    <row r="6" customFormat="false" ht="15" hidden="false" customHeight="false" outlineLevel="0" collapsed="false">
      <c r="A6" s="2" t="s">
        <v>5</v>
      </c>
      <c r="B6" s="3" t="s">
        <v>6</v>
      </c>
    </row>
    <row r="7" customFormat="false" ht="23.85" hidden="false" customHeight="false" outlineLevel="0" collapsed="false">
      <c r="A7" s="2" t="s">
        <v>7</v>
      </c>
      <c r="B7" s="3" t="s">
        <v>8</v>
      </c>
    </row>
    <row r="8" customFormat="false" ht="15" hidden="false" customHeight="false" outlineLevel="0" collapsed="false">
      <c r="A8" s="2" t="s">
        <v>9</v>
      </c>
      <c r="B8" s="3" t="s">
        <v>10</v>
      </c>
    </row>
    <row r="9" customFormat="false" ht="15" hidden="false" customHeight="false" outlineLevel="0" collapsed="false">
      <c r="A9" s="2" t="s">
        <v>11</v>
      </c>
      <c r="B9" s="3" t="s">
        <v>12</v>
      </c>
    </row>
    <row r="10" customFormat="false" ht="15" hidden="false" customHeight="false" outlineLevel="0" collapsed="false">
      <c r="A10" s="2" t="s">
        <v>13</v>
      </c>
      <c r="B10" s="3" t="s">
        <v>14</v>
      </c>
    </row>
    <row r="11" customFormat="false" ht="15" hidden="false" customHeight="false" outlineLevel="0" collapsed="false">
      <c r="A11" s="2" t="s">
        <v>15</v>
      </c>
      <c r="B11" s="3" t="s">
        <v>16</v>
      </c>
    </row>
    <row r="13" customFormat="false" ht="15" hidden="false" customHeight="false" outlineLevel="0" collapsed="false">
      <c r="A13" s="2" t="s">
        <v>17</v>
      </c>
    </row>
    <row r="14" customFormat="false" ht="15" hidden="false" customHeight="false" outlineLevel="0" collapsed="false">
      <c r="A14" s="4" t="s">
        <v>18</v>
      </c>
      <c r="B14" s="3" t="s">
        <v>19</v>
      </c>
    </row>
    <row r="15" customFormat="false" ht="15" hidden="false" customHeight="false" outlineLevel="0" collapsed="false">
      <c r="A15" s="4" t="s">
        <v>20</v>
      </c>
      <c r="B15" s="3" t="s">
        <v>21</v>
      </c>
    </row>
    <row r="16" customFormat="false" ht="15" hidden="false" customHeight="false" outlineLevel="0" collapsed="false">
      <c r="A16" s="4" t="s">
        <v>22</v>
      </c>
      <c r="B16" s="3" t="s">
        <v>23</v>
      </c>
    </row>
    <row r="17" customFormat="false" ht="15" hidden="false" customHeight="false" outlineLevel="0" collapsed="false">
      <c r="A17" s="4" t="s">
        <v>24</v>
      </c>
      <c r="B17" s="3" t="s">
        <v>25</v>
      </c>
    </row>
    <row r="18" customFormat="false" ht="15" hidden="false" customHeight="false" outlineLevel="0" collapsed="false">
      <c r="A18" s="4" t="s">
        <v>26</v>
      </c>
      <c r="B18" s="3" t="s">
        <v>27</v>
      </c>
    </row>
    <row r="19" customFormat="false" ht="15" hidden="false" customHeight="false" outlineLevel="0" collapsed="false">
      <c r="A19" s="4" t="s">
        <v>28</v>
      </c>
      <c r="B19" s="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5" t="s">
        <v>30</v>
      </c>
      <c r="B1" s="5" t="s">
        <v>31</v>
      </c>
      <c r="C1" s="5" t="s">
        <v>32</v>
      </c>
      <c r="D1" s="5" t="s">
        <v>33</v>
      </c>
    </row>
    <row r="2" customFormat="false" ht="15" hidden="false" customHeight="false" outlineLevel="0" collapsed="false">
      <c r="A2" s="6" t="s">
        <v>34</v>
      </c>
      <c r="B2" s="7" t="n">
        <v>0.2</v>
      </c>
      <c r="C2" s="6" t="s">
        <v>35</v>
      </c>
      <c r="D2" s="6" t="s">
        <v>36</v>
      </c>
    </row>
    <row r="3" customFormat="false" ht="15" hidden="false" customHeight="false" outlineLevel="0" collapsed="false">
      <c r="A3" s="6" t="s">
        <v>37</v>
      </c>
      <c r="B3" s="7" t="n">
        <v>0.05</v>
      </c>
      <c r="C3" s="6" t="s">
        <v>35</v>
      </c>
      <c r="D3" s="6" t="s">
        <v>38</v>
      </c>
    </row>
    <row r="4" customFormat="false" ht="15" hidden="false" customHeight="false" outlineLevel="0" collapsed="false">
      <c r="A4" s="6" t="s">
        <v>39</v>
      </c>
      <c r="B4" s="7" t="n">
        <v>0.02</v>
      </c>
      <c r="C4" s="6" t="s">
        <v>35</v>
      </c>
      <c r="D4" s="6" t="s">
        <v>38</v>
      </c>
    </row>
    <row r="5" customFormat="false" ht="15" hidden="false" customHeight="false" outlineLevel="0" collapsed="false">
      <c r="A5" s="6" t="s">
        <v>40</v>
      </c>
      <c r="B5" s="7" t="n">
        <v>0.1</v>
      </c>
      <c r="C5" s="6" t="s">
        <v>35</v>
      </c>
      <c r="D5" s="6" t="s">
        <v>38</v>
      </c>
    </row>
    <row r="6" customFormat="false" ht="15" hidden="false" customHeight="false" outlineLevel="0" collapsed="false">
      <c r="A6" s="6" t="s">
        <v>41</v>
      </c>
      <c r="B6" s="7" t="n">
        <v>0.5</v>
      </c>
      <c r="C6" s="6" t="s">
        <v>35</v>
      </c>
      <c r="D6" s="6" t="s">
        <v>38</v>
      </c>
    </row>
    <row r="7" customFormat="false" ht="15" hidden="false" customHeight="false" outlineLevel="0" collapsed="false">
      <c r="A7" s="6" t="s">
        <v>42</v>
      </c>
      <c r="B7" s="8" t="n">
        <v>32</v>
      </c>
      <c r="C7" s="6" t="s">
        <v>43</v>
      </c>
      <c r="D7" s="6" t="s">
        <v>44</v>
      </c>
    </row>
    <row r="8" customFormat="false" ht="15" hidden="false" customHeight="false" outlineLevel="0" collapsed="false">
      <c r="A8" s="6" t="s">
        <v>45</v>
      </c>
      <c r="B8" s="8" t="n">
        <v>36</v>
      </c>
      <c r="C8" s="6" t="s">
        <v>43</v>
      </c>
      <c r="D8" s="6" t="s">
        <v>46</v>
      </c>
    </row>
    <row r="9" customFormat="false" ht="15" hidden="false" customHeight="false" outlineLevel="0" collapsed="false">
      <c r="A9" s="6" t="s">
        <v>47</v>
      </c>
      <c r="B9" s="8" t="n">
        <v>226.3</v>
      </c>
      <c r="C9" s="6" t="s">
        <v>48</v>
      </c>
      <c r="D9" s="6" t="s">
        <v>49</v>
      </c>
    </row>
    <row r="10" customFormat="false" ht="15" hidden="false" customHeight="false" outlineLevel="0" collapsed="false">
      <c r="A10" s="6" t="s">
        <v>50</v>
      </c>
      <c r="B10" s="8" t="n">
        <v>226.3</v>
      </c>
      <c r="C10" s="6" t="s">
        <v>48</v>
      </c>
      <c r="D10" s="6" t="s">
        <v>44</v>
      </c>
    </row>
    <row r="11" customFormat="false" ht="15" hidden="false" customHeight="false" outlineLevel="0" collapsed="false">
      <c r="A11" s="6" t="s">
        <v>51</v>
      </c>
      <c r="B11" s="8" t="n">
        <v>454</v>
      </c>
      <c r="C11" s="6" t="s">
        <v>48</v>
      </c>
      <c r="D11" s="6" t="s">
        <v>44</v>
      </c>
    </row>
    <row r="12" customFormat="false" ht="15" hidden="false" customHeight="false" outlineLevel="0" collapsed="false">
      <c r="A12" s="6" t="s">
        <v>52</v>
      </c>
      <c r="B12" s="8" t="n">
        <v>39.5</v>
      </c>
      <c r="C12" s="6" t="s">
        <v>48</v>
      </c>
      <c r="D12" s="6" t="s">
        <v>53</v>
      </c>
    </row>
    <row r="13" customFormat="false" ht="15" hidden="false" customHeight="false" outlineLevel="0" collapsed="false">
      <c r="A13" s="6" t="s">
        <v>54</v>
      </c>
      <c r="B13" s="8" t="n">
        <v>45</v>
      </c>
      <c r="C13" s="6" t="s">
        <v>48</v>
      </c>
      <c r="D13" s="6" t="s">
        <v>55</v>
      </c>
    </row>
    <row r="14" customFormat="false" ht="15" hidden="false" customHeight="false" outlineLevel="0" collapsed="false">
      <c r="A14" s="6" t="s">
        <v>56</v>
      </c>
      <c r="B14" s="8" t="n">
        <v>90</v>
      </c>
      <c r="C14" s="6" t="s">
        <v>48</v>
      </c>
      <c r="D14" s="6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7" min="6" style="0" width="12"/>
    <col collapsed="false" customWidth="true" hidden="false" outlineLevel="0" max="8" min="8" style="0" width="16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6"/>
    <col collapsed="false" customWidth="true" hidden="false" outlineLevel="0" max="13" min="13" style="0" width="50"/>
  </cols>
  <sheetData>
    <row r="1" customFormat="false" ht="46.25" hidden="false" customHeight="false" outlineLevel="0" collapsed="false">
      <c r="A1" s="5" t="s">
        <v>57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5" t="s">
        <v>63</v>
      </c>
      <c r="H1" s="5" t="s">
        <v>64</v>
      </c>
      <c r="I1" s="5" t="s">
        <v>65</v>
      </c>
      <c r="J1" s="5" t="s">
        <v>66</v>
      </c>
      <c r="K1" s="5" t="s">
        <v>33</v>
      </c>
      <c r="L1" s="5" t="s">
        <v>67</v>
      </c>
      <c r="M1" s="5" t="s">
        <v>68</v>
      </c>
    </row>
    <row r="2" customFormat="false" ht="15" hidden="false" customHeight="false" outlineLevel="0" collapsed="false">
      <c r="A2" s="6" t="s">
        <v>69</v>
      </c>
      <c r="B2" s="6" t="s">
        <v>70</v>
      </c>
      <c r="C2" s="6" t="s">
        <v>71</v>
      </c>
      <c r="D2" s="8" t="s">
        <v>72</v>
      </c>
      <c r="E2" s="8" t="n">
        <v>4</v>
      </c>
      <c r="F2" s="9"/>
      <c r="G2" s="10" t="str">
        <f aca="false">IF(OR(E2="",F2=""),"",E2*F2)</f>
        <v/>
      </c>
      <c r="H2" s="8"/>
      <c r="I2" s="11" t="str">
        <f aca="false">IF(H2="","",INDEX(Liste!$B$2:$B$4,MATCH(H2,Liste!$A$2:$A$4,0)))</f>
        <v/>
      </c>
      <c r="J2" s="10" t="str">
        <f aca="false">IF(OR(G2="",I2=""),"",G2*(1+I2))</f>
        <v/>
      </c>
      <c r="K2" s="8" t="s">
        <v>73</v>
      </c>
      <c r="L2" s="8"/>
      <c r="M2" s="8"/>
    </row>
    <row r="3" customFormat="false" ht="15" hidden="false" customHeight="false" outlineLevel="0" collapsed="false">
      <c r="A3" s="6" t="s">
        <v>74</v>
      </c>
      <c r="B3" s="6" t="s">
        <v>70</v>
      </c>
      <c r="C3" s="6" t="s">
        <v>75</v>
      </c>
      <c r="D3" s="8" t="s">
        <v>72</v>
      </c>
      <c r="E3" s="8"/>
      <c r="F3" s="9"/>
      <c r="G3" s="10" t="str">
        <f aca="false">IF(OR(E3="",F3=""),"",E3*F3)</f>
        <v/>
      </c>
      <c r="H3" s="8"/>
      <c r="I3" s="11" t="str">
        <f aca="false">IF(H3="","",INDEX(Liste!$B$2:$B$4,MATCH(H3,Liste!$A$2:$A$4,0)))</f>
        <v/>
      </c>
      <c r="J3" s="10" t="str">
        <f aca="false">IF(OR(G3="",I3=""),"",G3*(1+I3))</f>
        <v/>
      </c>
      <c r="K3" s="8" t="s">
        <v>73</v>
      </c>
      <c r="L3" s="8"/>
      <c r="M3" s="8"/>
    </row>
    <row r="4" customFormat="false" ht="15" hidden="false" customHeight="false" outlineLevel="0" collapsed="false">
      <c r="A4" s="6" t="s">
        <v>76</v>
      </c>
      <c r="B4" s="6" t="s">
        <v>70</v>
      </c>
      <c r="C4" s="6" t="s">
        <v>77</v>
      </c>
      <c r="D4" s="8" t="s">
        <v>72</v>
      </c>
      <c r="E4" s="8" t="n">
        <v>1</v>
      </c>
      <c r="F4" s="9"/>
      <c r="G4" s="10" t="str">
        <f aca="false">IF(OR(E4="",F4=""),"",E4*F4)</f>
        <v/>
      </c>
      <c r="H4" s="8"/>
      <c r="I4" s="11" t="str">
        <f aca="false">IF(H4="","",INDEX(Liste!$B$2:$B$4,MATCH(H4,Liste!$A$2:$A$4,0)))</f>
        <v/>
      </c>
      <c r="J4" s="10" t="str">
        <f aca="false">IF(OR(G4="",I4=""),"",G4*(1+I4))</f>
        <v/>
      </c>
      <c r="K4" s="8" t="s">
        <v>73</v>
      </c>
      <c r="L4" s="8"/>
      <c r="M4" s="8"/>
    </row>
    <row r="5" customFormat="false" ht="15" hidden="false" customHeight="false" outlineLevel="0" collapsed="false">
      <c r="A5" s="6" t="s">
        <v>78</v>
      </c>
      <c r="B5" s="6" t="s">
        <v>70</v>
      </c>
      <c r="C5" s="6" t="s">
        <v>79</v>
      </c>
      <c r="D5" s="8" t="s">
        <v>72</v>
      </c>
      <c r="E5" s="8" t="n">
        <v>3</v>
      </c>
      <c r="F5" s="9"/>
      <c r="G5" s="10" t="str">
        <f aca="false">IF(OR(E5="",F5=""),"",E5*F5)</f>
        <v/>
      </c>
      <c r="H5" s="8"/>
      <c r="I5" s="11" t="str">
        <f aca="false">IF(H5="","",INDEX(Liste!$B$2:$B$4,MATCH(H5,Liste!$A$2:$A$4,0)))</f>
        <v/>
      </c>
      <c r="J5" s="10" t="str">
        <f aca="false">IF(OR(G5="",I5=""),"",G5*(1+I5))</f>
        <v/>
      </c>
      <c r="K5" s="8" t="s">
        <v>73</v>
      </c>
      <c r="L5" s="8"/>
      <c r="M5" s="8"/>
    </row>
    <row r="6" customFormat="false" ht="15" hidden="false" customHeight="false" outlineLevel="0" collapsed="false">
      <c r="A6" s="6" t="s">
        <v>80</v>
      </c>
      <c r="B6" s="6" t="s">
        <v>70</v>
      </c>
      <c r="C6" s="6" t="s">
        <v>81</v>
      </c>
      <c r="D6" s="8" t="s">
        <v>72</v>
      </c>
      <c r="E6" s="8" t="n">
        <v>1</v>
      </c>
      <c r="F6" s="9"/>
      <c r="G6" s="10" t="str">
        <f aca="false">IF(OR(E6="",F6=""),"",E6*F6)</f>
        <v/>
      </c>
      <c r="H6" s="8"/>
      <c r="I6" s="11" t="str">
        <f aca="false">IF(H6="","",INDEX(Liste!$B$2:$B$4,MATCH(H6,Liste!$A$2:$A$4,0)))</f>
        <v/>
      </c>
      <c r="J6" s="10" t="str">
        <f aca="false">IF(OR(G6="",I6=""),"",G6*(1+I6))</f>
        <v/>
      </c>
      <c r="K6" s="8" t="s">
        <v>73</v>
      </c>
      <c r="L6" s="8"/>
      <c r="M6" s="8"/>
    </row>
    <row r="7" customFormat="false" ht="15" hidden="false" customHeight="false" outlineLevel="0" collapsed="false">
      <c r="A7" s="6" t="s">
        <v>82</v>
      </c>
      <c r="B7" s="6" t="s">
        <v>70</v>
      </c>
      <c r="C7" s="6" t="s">
        <v>83</v>
      </c>
      <c r="D7" s="8" t="s">
        <v>72</v>
      </c>
      <c r="E7" s="8"/>
      <c r="F7" s="9"/>
      <c r="G7" s="10" t="str">
        <f aca="false">IF(OR(E7="",F7=""),"",E7*F7)</f>
        <v/>
      </c>
      <c r="H7" s="8"/>
      <c r="I7" s="11" t="str">
        <f aca="false">IF(H7="","",INDEX(Liste!$B$2:$B$4,MATCH(H7,Liste!$A$2:$A$4,0)))</f>
        <v/>
      </c>
      <c r="J7" s="10" t="str">
        <f aca="false">IF(OR(G7="",I7=""),"",G7*(1+I7))</f>
        <v/>
      </c>
      <c r="K7" s="8" t="s">
        <v>73</v>
      </c>
      <c r="L7" s="8"/>
      <c r="M7" s="8"/>
    </row>
    <row r="8" customFormat="false" ht="15" hidden="false" customHeight="false" outlineLevel="0" collapsed="false">
      <c r="A8" s="6" t="s">
        <v>84</v>
      </c>
      <c r="B8" s="6" t="s">
        <v>70</v>
      </c>
      <c r="C8" s="6" t="s">
        <v>85</v>
      </c>
      <c r="D8" s="8" t="s">
        <v>72</v>
      </c>
      <c r="E8" s="8" t="n">
        <v>1</v>
      </c>
      <c r="F8" s="9"/>
      <c r="G8" s="10" t="str">
        <f aca="false">IF(OR(E8="",F8=""),"",E8*F8)</f>
        <v/>
      </c>
      <c r="H8" s="8"/>
      <c r="I8" s="11" t="str">
        <f aca="false">IF(H8="","",INDEX(Liste!$B$2:$B$4,MATCH(H8,Liste!$A$2:$A$4,0)))</f>
        <v/>
      </c>
      <c r="J8" s="10" t="str">
        <f aca="false">IF(OR(G8="",I8=""),"",G8*(1+I8))</f>
        <v/>
      </c>
      <c r="K8" s="8" t="s">
        <v>73</v>
      </c>
      <c r="L8" s="8"/>
      <c r="M8" s="8"/>
    </row>
    <row r="9" customFormat="false" ht="35.05" hidden="false" customHeight="false" outlineLevel="0" collapsed="false">
      <c r="A9" s="6" t="s">
        <v>86</v>
      </c>
      <c r="B9" s="6" t="s">
        <v>87</v>
      </c>
      <c r="C9" s="6" t="s">
        <v>88</v>
      </c>
      <c r="D9" s="8" t="s">
        <v>72</v>
      </c>
      <c r="E9" s="8" t="n">
        <v>1</v>
      </c>
      <c r="F9" s="9" t="n">
        <v>6</v>
      </c>
      <c r="G9" s="10" t="n">
        <f aca="false">IF(OR(E9="",F9=""),"",E9*F9)</f>
        <v>6</v>
      </c>
      <c r="H9" s="8" t="s">
        <v>89</v>
      </c>
      <c r="I9" s="11" t="n">
        <f aca="false">IF(H9="","",INDEX(Liste!$B$2:$B$4,MATCH(H9,Liste!$A$2:$A$4,0)))</f>
        <v>0.05</v>
      </c>
      <c r="J9" s="10" t="n">
        <f aca="false">IF(OR(G9="",I9=""),"",G9*(1+I9))</f>
        <v>6.3</v>
      </c>
      <c r="K9" s="8" t="s">
        <v>90</v>
      </c>
      <c r="L9" s="8" t="s">
        <v>91</v>
      </c>
      <c r="M9" s="8" t="s">
        <v>92</v>
      </c>
    </row>
    <row r="10" customFormat="false" ht="15" hidden="false" customHeight="false" outlineLevel="0" collapsed="false">
      <c r="A10" s="6" t="s">
        <v>93</v>
      </c>
      <c r="B10" s="6" t="s">
        <v>94</v>
      </c>
      <c r="C10" s="6" t="s">
        <v>95</v>
      </c>
      <c r="D10" s="8" t="s">
        <v>72</v>
      </c>
      <c r="E10" s="8"/>
      <c r="F10" s="9"/>
      <c r="G10" s="10" t="str">
        <f aca="false">IF(OR(E10="",F10=""),"",E10*F10)</f>
        <v/>
      </c>
      <c r="H10" s="8"/>
      <c r="I10" s="11" t="str">
        <f aca="false">IF(H10="","",INDEX(Liste!$B$2:$B$4,MATCH(H10,Liste!$A$2:$A$4,0)))</f>
        <v/>
      </c>
      <c r="J10" s="10" t="str">
        <f aca="false">IF(OR(G10="",I10=""),"",G10*(1+I10))</f>
        <v/>
      </c>
      <c r="K10" s="8" t="s">
        <v>73</v>
      </c>
      <c r="L10" s="8"/>
      <c r="M10" s="8"/>
    </row>
    <row r="11" customFormat="false" ht="15" hidden="false" customHeight="false" outlineLevel="0" collapsed="false">
      <c r="A11" s="6" t="s">
        <v>96</v>
      </c>
      <c r="B11" s="6" t="s">
        <v>94</v>
      </c>
      <c r="C11" s="6" t="s">
        <v>97</v>
      </c>
      <c r="D11" s="8" t="s">
        <v>72</v>
      </c>
      <c r="E11" s="8"/>
      <c r="F11" s="9"/>
      <c r="G11" s="10" t="str">
        <f aca="false">IF(OR(E11="",F11=""),"",E11*F11)</f>
        <v/>
      </c>
      <c r="H11" s="8"/>
      <c r="I11" s="11" t="str">
        <f aca="false">IF(H11="","",INDEX(Liste!$B$2:$B$4,MATCH(H11,Liste!$A$2:$A$4,0)))</f>
        <v/>
      </c>
      <c r="J11" s="10" t="str">
        <f aca="false">IF(OR(G11="",I11=""),"",G11*(1+I11))</f>
        <v/>
      </c>
      <c r="K11" s="8" t="s">
        <v>73</v>
      </c>
      <c r="L11" s="8"/>
      <c r="M11" s="8"/>
    </row>
    <row r="12" customFormat="false" ht="15" hidden="false" customHeight="false" outlineLevel="0" collapsed="false">
      <c r="A12" s="6" t="s">
        <v>98</v>
      </c>
      <c r="B12" s="6" t="s">
        <v>99</v>
      </c>
      <c r="C12" s="6" t="s">
        <v>100</v>
      </c>
      <c r="D12" s="8" t="s">
        <v>101</v>
      </c>
      <c r="E12" s="8" t="n">
        <v>1</v>
      </c>
      <c r="F12" s="9"/>
      <c r="G12" s="10" t="str">
        <f aca="false">IF(OR(E12="",F12=""),"",E12*F12)</f>
        <v/>
      </c>
      <c r="H12" s="8"/>
      <c r="I12" s="11" t="str">
        <f aca="false">IF(H12="","",INDEX(Liste!$B$2:$B$4,MATCH(H12,Liste!$A$2:$A$4,0)))</f>
        <v/>
      </c>
      <c r="J12" s="10" t="str">
        <f aca="false">IF(OR(G12="",I12=""),"",G12*(1+I12))</f>
        <v/>
      </c>
      <c r="K12" s="8" t="s">
        <v>73</v>
      </c>
      <c r="L12" s="8"/>
      <c r="M12" s="8"/>
    </row>
    <row r="13" customFormat="false" ht="15" hidden="false" customHeight="false" outlineLevel="0" collapsed="false">
      <c r="A13" s="6" t="s">
        <v>102</v>
      </c>
      <c r="B13" s="6" t="s">
        <v>99</v>
      </c>
      <c r="C13" s="6" t="s">
        <v>103</v>
      </c>
      <c r="D13" s="8" t="s">
        <v>101</v>
      </c>
      <c r="E13" s="8" t="n">
        <v>1</v>
      </c>
      <c r="F13" s="9"/>
      <c r="G13" s="10" t="str">
        <f aca="false">IF(OR(E13="",F13=""),"",E13*F13)</f>
        <v/>
      </c>
      <c r="H13" s="8"/>
      <c r="I13" s="11" t="str">
        <f aca="false">IF(H13="","",INDEX(Liste!$B$2:$B$4,MATCH(H13,Liste!$A$2:$A$4,0)))</f>
        <v/>
      </c>
      <c r="J13" s="10" t="str">
        <f aca="false">IF(OR(G13="",I13=""),"",G13*(1+I13))</f>
        <v/>
      </c>
      <c r="K13" s="8" t="s">
        <v>73</v>
      </c>
      <c r="L13" s="8"/>
      <c r="M13" s="8"/>
    </row>
    <row r="14" customFormat="false" ht="15" hidden="false" customHeight="false" outlineLevel="0" collapsed="false">
      <c r="A14" s="6" t="s">
        <v>104</v>
      </c>
      <c r="B14" s="6" t="s">
        <v>99</v>
      </c>
      <c r="C14" s="6" t="s">
        <v>105</v>
      </c>
      <c r="D14" s="8" t="s">
        <v>101</v>
      </c>
      <c r="E14" s="8" t="n">
        <v>1</v>
      </c>
      <c r="F14" s="9"/>
      <c r="G14" s="10" t="str">
        <f aca="false">IF(OR(E14="",F14=""),"",E14*F14)</f>
        <v/>
      </c>
      <c r="H14" s="8"/>
      <c r="I14" s="11" t="str">
        <f aca="false">IF(H14="","",INDEX(Liste!$B$2:$B$4,MATCH(H14,Liste!$A$2:$A$4,0)))</f>
        <v/>
      </c>
      <c r="J14" s="10" t="str">
        <f aca="false">IF(OR(G14="",I14=""),"",G14*(1+I14))</f>
        <v/>
      </c>
      <c r="K14" s="8" t="s">
        <v>73</v>
      </c>
      <c r="L14" s="8"/>
      <c r="M14" s="8"/>
    </row>
    <row r="15" customFormat="false" ht="15" hidden="false" customHeight="false" outlineLevel="0" collapsed="false">
      <c r="A15" s="6" t="s">
        <v>106</v>
      </c>
      <c r="B15" s="6" t="s">
        <v>99</v>
      </c>
      <c r="C15" s="6" t="s">
        <v>107</v>
      </c>
      <c r="D15" s="8" t="s">
        <v>101</v>
      </c>
      <c r="E15" s="8"/>
      <c r="F15" s="9"/>
      <c r="G15" s="10" t="str">
        <f aca="false">IF(OR(E15="",F15=""),"",E15*F15)</f>
        <v/>
      </c>
      <c r="H15" s="8"/>
      <c r="I15" s="11" t="str">
        <f aca="false">IF(H15="","",INDEX(Liste!$B$2:$B$4,MATCH(H15,Liste!$A$2:$A$4,0)))</f>
        <v/>
      </c>
      <c r="J15" s="10" t="str">
        <f aca="false">IF(OR(G15="",I15=""),"",G15*(1+I15))</f>
        <v/>
      </c>
      <c r="K15" s="8" t="s">
        <v>73</v>
      </c>
      <c r="L15" s="8"/>
      <c r="M15" s="8"/>
    </row>
    <row r="16" customFormat="false" ht="15" hidden="false" customHeight="false" outlineLevel="0" collapsed="false">
      <c r="A16" s="6" t="s">
        <v>108</v>
      </c>
      <c r="B16" s="6" t="s">
        <v>109</v>
      </c>
      <c r="C16" s="6" t="s">
        <v>110</v>
      </c>
      <c r="D16" s="8" t="s">
        <v>101</v>
      </c>
      <c r="E16" s="8" t="n">
        <v>1</v>
      </c>
      <c r="F16" s="9"/>
      <c r="G16" s="10" t="str">
        <f aca="false">IF(OR(E16="",F16=""),"",E16*F16)</f>
        <v/>
      </c>
      <c r="H16" s="8"/>
      <c r="I16" s="11" t="str">
        <f aca="false">IF(H16="","",INDEX(Liste!$B$2:$B$4,MATCH(H16,Liste!$A$2:$A$4,0)))</f>
        <v/>
      </c>
      <c r="J16" s="10" t="str">
        <f aca="false">IF(OR(G16="",I16=""),"",G16*(1+I16))</f>
        <v/>
      </c>
      <c r="K16" s="8" t="s">
        <v>73</v>
      </c>
      <c r="L16" s="8"/>
      <c r="M16" s="8"/>
    </row>
    <row r="17" customFormat="false" ht="15" hidden="false" customHeight="false" outlineLevel="0" collapsed="false">
      <c r="A17" s="6" t="s">
        <v>111</v>
      </c>
      <c r="B17" s="6" t="s">
        <v>109</v>
      </c>
      <c r="C17" s="6" t="s">
        <v>112</v>
      </c>
      <c r="D17" s="8" t="s">
        <v>101</v>
      </c>
      <c r="E17" s="8"/>
      <c r="F17" s="9"/>
      <c r="G17" s="10" t="str">
        <f aca="false">IF(OR(E17="",F17=""),"",E17*F17)</f>
        <v/>
      </c>
      <c r="H17" s="8"/>
      <c r="I17" s="11" t="str">
        <f aca="false">IF(H17="","",INDEX(Liste!$B$2:$B$4,MATCH(H17,Liste!$A$2:$A$4,0)))</f>
        <v/>
      </c>
      <c r="J17" s="10" t="str">
        <f aca="false">IF(OR(G17="",I17=""),"",G17*(1+I17))</f>
        <v/>
      </c>
      <c r="K17" s="8" t="s">
        <v>73</v>
      </c>
      <c r="L17" s="8"/>
      <c r="M17" s="8"/>
    </row>
    <row r="18" customFormat="false" ht="15" hidden="false" customHeight="false" outlineLevel="0" collapsed="false">
      <c r="A18" s="6" t="s">
        <v>113</v>
      </c>
      <c r="B18" s="6" t="s">
        <v>114</v>
      </c>
      <c r="C18" s="6" t="s">
        <v>115</v>
      </c>
      <c r="D18" s="8" t="s">
        <v>116</v>
      </c>
      <c r="E18" s="8" t="n">
        <v>1</v>
      </c>
      <c r="F18" s="9"/>
      <c r="G18" s="10" t="str">
        <f aca="false">IF(OR(E18="",F18=""),"",E18*F18)</f>
        <v/>
      </c>
      <c r="H18" s="8"/>
      <c r="I18" s="11" t="str">
        <f aca="false">IF(H18="","",INDEX(Liste!$B$2:$B$4,MATCH(H18,Liste!$A$2:$A$4,0)))</f>
        <v/>
      </c>
      <c r="J18" s="10" t="str">
        <f aca="false">IF(OR(G18="",I18=""),"",G18*(1+I18))</f>
        <v/>
      </c>
      <c r="K18" s="8" t="s">
        <v>73</v>
      </c>
      <c r="L18" s="8"/>
      <c r="M18" s="8"/>
    </row>
    <row r="19" customFormat="false" ht="15" hidden="false" customHeight="false" outlineLevel="0" collapsed="false">
      <c r="A19" s="6" t="s">
        <v>117</v>
      </c>
      <c r="B19" s="6" t="s">
        <v>118</v>
      </c>
      <c r="C19" s="6" t="s">
        <v>119</v>
      </c>
      <c r="D19" s="8" t="s">
        <v>116</v>
      </c>
      <c r="E19" s="8"/>
      <c r="F19" s="9"/>
      <c r="G19" s="10" t="str">
        <f aca="false">IF(OR(E19="",F19=""),"",E19*F19)</f>
        <v/>
      </c>
      <c r="H19" s="8"/>
      <c r="I19" s="11" t="str">
        <f aca="false">IF(H19="","",INDEX(Liste!$B$2:$B$4,MATCH(H19,Liste!$A$2:$A$4,0)))</f>
        <v/>
      </c>
      <c r="J19" s="10" t="str">
        <f aca="false">IF(OR(G19="",I19=""),"",G19*(1+I19))</f>
        <v/>
      </c>
      <c r="K19" s="8" t="s">
        <v>73</v>
      </c>
      <c r="L19" s="8"/>
      <c r="M19" s="8"/>
    </row>
    <row r="20" customFormat="false" ht="15" hidden="false" customHeight="false" outlineLevel="0" collapsed="false">
      <c r="A20" s="6" t="s">
        <v>120</v>
      </c>
      <c r="B20" s="6" t="s">
        <v>118</v>
      </c>
      <c r="C20" s="6" t="s">
        <v>121</v>
      </c>
      <c r="D20" s="8" t="s">
        <v>116</v>
      </c>
      <c r="E20" s="8"/>
      <c r="F20" s="9"/>
      <c r="G20" s="10" t="str">
        <f aca="false">IF(OR(E20="",F20=""),"",E20*F20)</f>
        <v/>
      </c>
      <c r="H20" s="8"/>
      <c r="I20" s="11" t="str">
        <f aca="false">IF(H20="","",INDEX(Liste!$B$2:$B$4,MATCH(H20,Liste!$A$2:$A$4,0)))</f>
        <v/>
      </c>
      <c r="J20" s="10" t="str">
        <f aca="false">IF(OR(G20="",I20=""),"",G20*(1+I20))</f>
        <v/>
      </c>
      <c r="K20" s="8" t="s">
        <v>73</v>
      </c>
      <c r="L20" s="8"/>
      <c r="M20" s="8"/>
    </row>
    <row r="21" customFormat="false" ht="15" hidden="false" customHeight="false" outlineLevel="0" collapsed="false">
      <c r="A21" s="6" t="s">
        <v>122</v>
      </c>
      <c r="B21" s="6" t="s">
        <v>118</v>
      </c>
      <c r="C21" s="6" t="s">
        <v>123</v>
      </c>
      <c r="D21" s="8" t="s">
        <v>116</v>
      </c>
      <c r="E21" s="8" t="n">
        <v>1</v>
      </c>
      <c r="F21" s="9"/>
      <c r="G21" s="10" t="str">
        <f aca="false">IF(OR(E21="",F21=""),"",E21*F21)</f>
        <v/>
      </c>
      <c r="H21" s="8"/>
      <c r="I21" s="11" t="str">
        <f aca="false">IF(H21="","",INDEX(Liste!$B$2:$B$4,MATCH(H21,Liste!$A$2:$A$4,0)))</f>
        <v/>
      </c>
      <c r="J21" s="10" t="str">
        <f aca="false">IF(OR(G21="",I21=""),"",G21*(1+I21))</f>
        <v/>
      </c>
      <c r="K21" s="8" t="s">
        <v>73</v>
      </c>
      <c r="L21" s="8"/>
      <c r="M21" s="8"/>
    </row>
    <row r="22" customFormat="false" ht="15" hidden="false" customHeight="false" outlineLevel="0" collapsed="false">
      <c r="A22" s="6" t="s">
        <v>124</v>
      </c>
      <c r="B22" s="6" t="s">
        <v>125</v>
      </c>
      <c r="C22" s="6" t="s">
        <v>126</v>
      </c>
      <c r="D22" s="8" t="s">
        <v>116</v>
      </c>
      <c r="E22" s="8" t="n">
        <v>1</v>
      </c>
      <c r="F22" s="9"/>
      <c r="G22" s="10" t="str">
        <f aca="false">IF(OR(E22="",F22=""),"",E22*F22)</f>
        <v/>
      </c>
      <c r="H22" s="8"/>
      <c r="I22" s="11" t="str">
        <f aca="false">IF(H22="","",INDEX(Liste!$B$2:$B$4,MATCH(H22,Liste!$A$2:$A$4,0)))</f>
        <v/>
      </c>
      <c r="J22" s="10" t="str">
        <f aca="false">IF(OR(G22="",I22=""),"",G22*(1+I22))</f>
        <v/>
      </c>
      <c r="K22" s="8" t="s">
        <v>73</v>
      </c>
      <c r="L22" s="8"/>
      <c r="M22" s="8"/>
    </row>
    <row r="23" customFormat="false" ht="15" hidden="false" customHeight="false" outlineLevel="0" collapsed="false">
      <c r="A23" s="6" t="s">
        <v>127</v>
      </c>
      <c r="B23" s="6" t="s">
        <v>125</v>
      </c>
      <c r="C23" s="6" t="s">
        <v>128</v>
      </c>
      <c r="D23" s="8" t="s">
        <v>116</v>
      </c>
      <c r="E23" s="8"/>
      <c r="F23" s="9"/>
      <c r="G23" s="10" t="str">
        <f aca="false">IF(OR(E23="",F23=""),"",E23*F23)</f>
        <v/>
      </c>
      <c r="H23" s="8"/>
      <c r="I23" s="11" t="str">
        <f aca="false">IF(H23="","",INDEX(Liste!$B$2:$B$4,MATCH(H23,Liste!$A$2:$A$4,0)))</f>
        <v/>
      </c>
      <c r="J23" s="10" t="str">
        <f aca="false">IF(OR(G23="",I23=""),"",G23*(1+I23))</f>
        <v/>
      </c>
      <c r="K23" s="8" t="s">
        <v>73</v>
      </c>
      <c r="L23" s="8"/>
      <c r="M23" s="8"/>
    </row>
    <row r="24" customFormat="false" ht="15" hidden="false" customHeight="false" outlineLevel="0" collapsed="false">
      <c r="A24" s="6" t="s">
        <v>129</v>
      </c>
      <c r="B24" s="6" t="s">
        <v>130</v>
      </c>
      <c r="C24" s="6" t="s">
        <v>131</v>
      </c>
      <c r="D24" s="8" t="s">
        <v>101</v>
      </c>
      <c r="E24" s="8"/>
      <c r="F24" s="9"/>
      <c r="G24" s="10" t="str">
        <f aca="false">IF(OR(E24="",F24=""),"",E24*F24)</f>
        <v/>
      </c>
      <c r="H24" s="8"/>
      <c r="I24" s="11" t="str">
        <f aca="false">IF(H24="","",INDEX(Liste!$B$2:$B$4,MATCH(H24,Liste!$A$2:$A$4,0)))</f>
        <v/>
      </c>
      <c r="J24" s="10" t="str">
        <f aca="false">IF(OR(G24="",I24=""),"",G24*(1+I24))</f>
        <v/>
      </c>
      <c r="K24" s="8" t="s">
        <v>73</v>
      </c>
      <c r="L24" s="8"/>
      <c r="M24" s="8"/>
    </row>
    <row r="25" customFormat="false" ht="15" hidden="false" customHeight="false" outlineLevel="0" collapsed="false">
      <c r="A25" s="6" t="s">
        <v>132</v>
      </c>
      <c r="B25" s="6" t="s">
        <v>130</v>
      </c>
      <c r="C25" s="6" t="s">
        <v>133</v>
      </c>
      <c r="D25" s="8" t="s">
        <v>116</v>
      </c>
      <c r="E25" s="8"/>
      <c r="F25" s="9"/>
      <c r="G25" s="10" t="str">
        <f aca="false">IF(OR(E25="",F25=""),"",E25*F25)</f>
        <v/>
      </c>
      <c r="H25" s="8"/>
      <c r="I25" s="11" t="str">
        <f aca="false">IF(H25="","",INDEX(Liste!$B$2:$B$4,MATCH(H25,Liste!$A$2:$A$4,0)))</f>
        <v/>
      </c>
      <c r="J25" s="10" t="str">
        <f aca="false">IF(OR(G25="",I25=""),"",G25*(1+I25))</f>
        <v/>
      </c>
      <c r="K25" s="8" t="s">
        <v>73</v>
      </c>
      <c r="L25" s="8"/>
      <c r="M25" s="8"/>
    </row>
    <row r="26" customFormat="false" ht="23.85" hidden="false" customHeight="false" outlineLevel="0" collapsed="false">
      <c r="A26" s="6" t="s">
        <v>134</v>
      </c>
      <c r="B26" s="6" t="s">
        <v>135</v>
      </c>
      <c r="C26" s="6" t="s">
        <v>136</v>
      </c>
      <c r="D26" s="8" t="s">
        <v>116</v>
      </c>
      <c r="E26" s="6" t="n">
        <v>1</v>
      </c>
      <c r="F26" s="10" t="n">
        <f aca="false">Parametri!$B$3*SUM(G2:G25)</f>
        <v>0.3</v>
      </c>
      <c r="G26" s="10" t="n">
        <f aca="false">E26*F26</f>
        <v>0.3</v>
      </c>
      <c r="H26" s="8" t="s">
        <v>137</v>
      </c>
      <c r="I26" s="11" t="n">
        <f aca="false">IF(H26="","",INDEX(Liste!$B$2:$B$4,MATCH(H26,Liste!$A$2:$A$4,0)))</f>
        <v>0.2</v>
      </c>
      <c r="J26" s="10" t="n">
        <f aca="false">G26*(1+I26)</f>
        <v>0.36</v>
      </c>
      <c r="K26" s="6" t="s">
        <v>138</v>
      </c>
      <c r="L26" s="6" t="s">
        <v>38</v>
      </c>
      <c r="M26" s="6" t="s">
        <v>139</v>
      </c>
    </row>
    <row r="28" customFormat="false" ht="15" hidden="false" customHeight="false" outlineLevel="0" collapsed="false">
      <c r="A28" s="12" t="s">
        <v>140</v>
      </c>
      <c r="B28" s="13" t="n">
        <f aca="false">SUM(G2:G26)</f>
        <v>6.3</v>
      </c>
    </row>
    <row r="29" customFormat="false" ht="15" hidden="false" customHeight="false" outlineLevel="0" collapsed="false">
      <c r="A29" s="12" t="s">
        <v>141</v>
      </c>
      <c r="B29" s="13" t="n">
        <f aca="false">SUM(J2:J26)</f>
        <v>6.66</v>
      </c>
    </row>
    <row r="30" customFormat="false" ht="15" hidden="false" customHeight="false" outlineLevel="0" collapsed="false">
      <c r="A30" s="12" t="s">
        <v>142</v>
      </c>
      <c r="B30" s="13" t="n">
        <f aca="false">Parametri!$B$2*B29</f>
        <v>1.332</v>
      </c>
    </row>
    <row r="31" customFormat="false" ht="15" hidden="false" customHeight="false" outlineLevel="0" collapsed="false">
      <c r="A31" s="12" t="s">
        <v>143</v>
      </c>
      <c r="B31" s="13" t="n">
        <f aca="false">B29+B30</f>
        <v>7.992</v>
      </c>
    </row>
    <row r="32" customFormat="false" ht="15" hidden="false" customHeight="false" outlineLevel="0" collapsed="false">
      <c r="A32" s="12" t="s">
        <v>144</v>
      </c>
      <c r="B32" s="13" t="n">
        <f aca="false">Parametri!$B$7</f>
        <v>32</v>
      </c>
    </row>
    <row r="33" customFormat="false" ht="15" hidden="false" customHeight="false" outlineLevel="0" collapsed="false">
      <c r="A33" s="12" t="s">
        <v>145</v>
      </c>
      <c r="B33" s="13" t="n">
        <f aca="false">Parametri!$B$8</f>
        <v>36</v>
      </c>
    </row>
    <row r="34" customFormat="false" ht="15" hidden="false" customHeight="false" outlineLevel="0" collapsed="false">
      <c r="A34" s="12" t="s">
        <v>146</v>
      </c>
      <c r="B34" s="13" t="n">
        <f aca="false">B32-B31</f>
        <v>24.008</v>
      </c>
    </row>
    <row r="35" customFormat="false" ht="15" hidden="false" customHeight="false" outlineLevel="0" collapsed="false">
      <c r="A35" s="12" t="s">
        <v>147</v>
      </c>
      <c r="B35" s="13" t="n">
        <f aca="false">B33-B31</f>
        <v>28.008</v>
      </c>
    </row>
    <row r="36" customFormat="false" ht="35.05" hidden="false" customHeight="false" outlineLevel="0" collapsed="false">
      <c r="A36" s="12" t="s">
        <v>148</v>
      </c>
      <c r="B36" s="13" t="str">
        <f aca="false">IF(COUNTIF(K2:K26,"TBD")&gt;0,"Budget incompleto ("&amp;COUNTIF(K2:K26,"TBD")&amp;" voci TBD)",IF(B31&lt;=B32,"Entro l'obiettivo",IF(B31&lt;=B33,"Sopra l'obiettivo: giustificare","Oltre il massimo")))</f>
        <v>Budget incompleto (23 voci TBD)</v>
      </c>
    </row>
    <row r="37" customFormat="false" ht="15" hidden="false" customHeight="false" outlineLevel="0" collapsed="false">
      <c r="A37" s="12" t="s">
        <v>149</v>
      </c>
      <c r="B37" s="13" t="n">
        <f aca="false">COUNTIF(D2:D26,"TBC")</f>
        <v>8</v>
      </c>
    </row>
  </sheetData>
  <dataValidations count="3">
    <dataValidation allowBlank="true" errorStyle="stop" operator="between" showDropDown="false" showErrorMessage="false" showInputMessage="false" sqref="H2:H26" type="list">
      <formula1>Liste!$A$2:$A$4</formula1>
      <formula2>0</formula2>
    </dataValidation>
    <dataValidation allowBlank="true" errorStyle="stop" operator="between" showDropDown="false" showErrorMessage="false" showInputMessage="false" sqref="K2:K26" type="list">
      <formula1>Liste!$C$2:$C$6</formula1>
      <formula2>0</formula2>
    </dataValidation>
    <dataValidation allowBlank="true" errorStyle="stop" operator="between" showDropDown="false" showErrorMessage="false" showInputMessage="false" sqref="D2:D26" type="list">
      <formula1>Liste!$D$2:$D$5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5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9" min="5" style="0" width="11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50"/>
  </cols>
  <sheetData>
    <row r="1" customFormat="false" ht="35.05" hidden="false" customHeight="false" outlineLevel="0" collapsed="false">
      <c r="A1" s="5" t="s">
        <v>57</v>
      </c>
      <c r="B1" s="5" t="s">
        <v>58</v>
      </c>
      <c r="C1" s="5" t="s">
        <v>59</v>
      </c>
      <c r="D1" s="5" t="s">
        <v>60</v>
      </c>
      <c r="E1" s="5" t="s">
        <v>150</v>
      </c>
      <c r="F1" s="5" t="s">
        <v>151</v>
      </c>
      <c r="G1" s="5" t="s">
        <v>152</v>
      </c>
      <c r="H1" s="5" t="s">
        <v>153</v>
      </c>
      <c r="I1" s="5" t="s">
        <v>154</v>
      </c>
      <c r="J1" s="5" t="s">
        <v>64</v>
      </c>
      <c r="K1" s="5" t="s">
        <v>65</v>
      </c>
      <c r="L1" s="5" t="s">
        <v>33</v>
      </c>
      <c r="M1" s="5" t="s">
        <v>67</v>
      </c>
      <c r="N1" s="5" t="s">
        <v>68</v>
      </c>
    </row>
    <row r="2" customFormat="false" ht="15" hidden="false" customHeight="false" outlineLevel="0" collapsed="false">
      <c r="A2" s="6" t="s">
        <v>155</v>
      </c>
      <c r="B2" s="6" t="s">
        <v>70</v>
      </c>
      <c r="C2" s="6" t="s">
        <v>71</v>
      </c>
      <c r="D2" s="8" t="s">
        <v>72</v>
      </c>
      <c r="E2" s="14"/>
      <c r="F2" s="14"/>
      <c r="G2" s="14"/>
      <c r="H2" s="14"/>
      <c r="I2" s="14"/>
      <c r="J2" s="8"/>
      <c r="K2" s="11" t="str">
        <f aca="false">IF(J2="","",INDEX(Liste!$B$2:$B$4,MATCH(J2,Liste!$A$2:$A$4,0)))</f>
        <v/>
      </c>
      <c r="L2" s="8" t="s">
        <v>73</v>
      </c>
      <c r="M2" s="8"/>
      <c r="N2" s="8"/>
    </row>
    <row r="3" customFormat="false" ht="15" hidden="false" customHeight="false" outlineLevel="0" collapsed="false">
      <c r="A3" s="6" t="s">
        <v>156</v>
      </c>
      <c r="B3" s="6" t="s">
        <v>70</v>
      </c>
      <c r="C3" s="6" t="s">
        <v>75</v>
      </c>
      <c r="D3" s="8" t="s">
        <v>72</v>
      </c>
      <c r="E3" s="14"/>
      <c r="F3" s="14"/>
      <c r="G3" s="14"/>
      <c r="H3" s="14"/>
      <c r="I3" s="14"/>
      <c r="J3" s="8"/>
      <c r="K3" s="11" t="str">
        <f aca="false">IF(J3="","",INDEX(Liste!$B$2:$B$4,MATCH(J3,Liste!$A$2:$A$4,0)))</f>
        <v/>
      </c>
      <c r="L3" s="8" t="s">
        <v>73</v>
      </c>
      <c r="M3" s="8"/>
      <c r="N3" s="8"/>
    </row>
    <row r="4" customFormat="false" ht="15" hidden="false" customHeight="false" outlineLevel="0" collapsed="false">
      <c r="A4" s="6" t="s">
        <v>157</v>
      </c>
      <c r="B4" s="6" t="s">
        <v>70</v>
      </c>
      <c r="C4" s="6" t="s">
        <v>77</v>
      </c>
      <c r="D4" s="8" t="s">
        <v>72</v>
      </c>
      <c r="E4" s="14"/>
      <c r="F4" s="14"/>
      <c r="G4" s="14"/>
      <c r="H4" s="14"/>
      <c r="I4" s="14"/>
      <c r="J4" s="8"/>
      <c r="K4" s="11" t="str">
        <f aca="false">IF(J4="","",INDEX(Liste!$B$2:$B$4,MATCH(J4,Liste!$A$2:$A$4,0)))</f>
        <v/>
      </c>
      <c r="L4" s="8" t="s">
        <v>73</v>
      </c>
      <c r="M4" s="8"/>
      <c r="N4" s="8"/>
    </row>
    <row r="5" customFormat="false" ht="15" hidden="false" customHeight="false" outlineLevel="0" collapsed="false">
      <c r="A5" s="6" t="s">
        <v>158</v>
      </c>
      <c r="B5" s="6" t="s">
        <v>70</v>
      </c>
      <c r="C5" s="6" t="s">
        <v>79</v>
      </c>
      <c r="D5" s="8" t="s">
        <v>72</v>
      </c>
      <c r="E5" s="14"/>
      <c r="F5" s="14"/>
      <c r="G5" s="14"/>
      <c r="H5" s="14"/>
      <c r="I5" s="14"/>
      <c r="J5" s="8"/>
      <c r="K5" s="11" t="str">
        <f aca="false">IF(J5="","",INDEX(Liste!$B$2:$B$4,MATCH(J5,Liste!$A$2:$A$4,0)))</f>
        <v/>
      </c>
      <c r="L5" s="8" t="s">
        <v>73</v>
      </c>
      <c r="M5" s="8"/>
      <c r="N5" s="8"/>
    </row>
    <row r="6" customFormat="false" ht="15" hidden="false" customHeight="false" outlineLevel="0" collapsed="false">
      <c r="A6" s="6" t="s">
        <v>159</v>
      </c>
      <c r="B6" s="6" t="s">
        <v>70</v>
      </c>
      <c r="C6" s="6" t="s">
        <v>81</v>
      </c>
      <c r="D6" s="8" t="s">
        <v>72</v>
      </c>
      <c r="E6" s="14"/>
      <c r="F6" s="14"/>
      <c r="G6" s="14"/>
      <c r="H6" s="14"/>
      <c r="I6" s="14"/>
      <c r="J6" s="8"/>
      <c r="K6" s="11" t="str">
        <f aca="false">IF(J6="","",INDEX(Liste!$B$2:$B$4,MATCH(J6,Liste!$A$2:$A$4,0)))</f>
        <v/>
      </c>
      <c r="L6" s="8" t="s">
        <v>73</v>
      </c>
      <c r="M6" s="8"/>
      <c r="N6" s="8"/>
    </row>
    <row r="7" customFormat="false" ht="15" hidden="false" customHeight="false" outlineLevel="0" collapsed="false">
      <c r="A7" s="6" t="s">
        <v>160</v>
      </c>
      <c r="B7" s="6" t="s">
        <v>70</v>
      </c>
      <c r="C7" s="6" t="s">
        <v>83</v>
      </c>
      <c r="D7" s="8" t="s">
        <v>72</v>
      </c>
      <c r="E7" s="14"/>
      <c r="F7" s="14"/>
      <c r="G7" s="14"/>
      <c r="H7" s="14"/>
      <c r="I7" s="14"/>
      <c r="J7" s="8"/>
      <c r="K7" s="11" t="str">
        <f aca="false">IF(J7="","",INDEX(Liste!$B$2:$B$4,MATCH(J7,Liste!$A$2:$A$4,0)))</f>
        <v/>
      </c>
      <c r="L7" s="8" t="s">
        <v>73</v>
      </c>
      <c r="M7" s="8"/>
      <c r="N7" s="8"/>
    </row>
    <row r="8" customFormat="false" ht="15" hidden="false" customHeight="false" outlineLevel="0" collapsed="false">
      <c r="A8" s="6" t="s">
        <v>161</v>
      </c>
      <c r="B8" s="6" t="s">
        <v>70</v>
      </c>
      <c r="C8" s="6" t="s">
        <v>85</v>
      </c>
      <c r="D8" s="8" t="s">
        <v>72</v>
      </c>
      <c r="E8" s="14"/>
      <c r="F8" s="14"/>
      <c r="G8" s="14"/>
      <c r="H8" s="14"/>
      <c r="I8" s="14"/>
      <c r="J8" s="8"/>
      <c r="K8" s="11" t="str">
        <f aca="false">IF(J8="","",INDEX(Liste!$B$2:$B$4,MATCH(J8,Liste!$A$2:$A$4,0)))</f>
        <v/>
      </c>
      <c r="L8" s="8" t="s">
        <v>73</v>
      </c>
      <c r="M8" s="8"/>
      <c r="N8" s="8"/>
    </row>
    <row r="9" customFormat="false" ht="46.25" hidden="false" customHeight="false" outlineLevel="0" collapsed="false">
      <c r="A9" s="6" t="s">
        <v>162</v>
      </c>
      <c r="B9" s="6" t="s">
        <v>87</v>
      </c>
      <c r="C9" s="6" t="s">
        <v>88</v>
      </c>
      <c r="D9" s="8" t="s">
        <v>72</v>
      </c>
      <c r="E9" s="14"/>
      <c r="F9" s="14"/>
      <c r="G9" s="14" t="n">
        <v>50</v>
      </c>
      <c r="H9" s="14"/>
      <c r="I9" s="14"/>
      <c r="J9" s="8" t="s">
        <v>89</v>
      </c>
      <c r="K9" s="11" t="n">
        <f aca="false">IF(J9="","",INDEX(Liste!$B$2:$B$4,MATCH(J9,Liste!$A$2:$A$4,0)))</f>
        <v>0.05</v>
      </c>
      <c r="L9" s="8" t="s">
        <v>90</v>
      </c>
      <c r="M9" s="8" t="s">
        <v>91</v>
      </c>
      <c r="N9" s="8" t="s">
        <v>163</v>
      </c>
    </row>
    <row r="10" customFormat="false" ht="15" hidden="false" customHeight="false" outlineLevel="0" collapsed="false">
      <c r="A10" s="6" t="s">
        <v>164</v>
      </c>
      <c r="B10" s="6" t="s">
        <v>94</v>
      </c>
      <c r="C10" s="6" t="s">
        <v>95</v>
      </c>
      <c r="D10" s="8" t="s">
        <v>72</v>
      </c>
      <c r="E10" s="14"/>
      <c r="F10" s="14"/>
      <c r="G10" s="14"/>
      <c r="H10" s="14"/>
      <c r="I10" s="14"/>
      <c r="J10" s="8"/>
      <c r="K10" s="11" t="str">
        <f aca="false">IF(J10="","",INDEX(Liste!$B$2:$B$4,MATCH(J10,Liste!$A$2:$A$4,0)))</f>
        <v/>
      </c>
      <c r="L10" s="8" t="s">
        <v>73</v>
      </c>
      <c r="M10" s="8"/>
      <c r="N10" s="8"/>
    </row>
    <row r="11" customFormat="false" ht="15" hidden="false" customHeight="false" outlineLevel="0" collapsed="false">
      <c r="A11" s="6" t="s">
        <v>165</v>
      </c>
      <c r="B11" s="6" t="s">
        <v>94</v>
      </c>
      <c r="C11" s="6" t="s">
        <v>97</v>
      </c>
      <c r="D11" s="8" t="s">
        <v>72</v>
      </c>
      <c r="E11" s="14"/>
      <c r="F11" s="14"/>
      <c r="G11" s="14"/>
      <c r="H11" s="14"/>
      <c r="I11" s="14"/>
      <c r="J11" s="8"/>
      <c r="K11" s="11" t="str">
        <f aca="false">IF(J11="","",INDEX(Liste!$B$2:$B$4,MATCH(J11,Liste!$A$2:$A$4,0)))</f>
        <v/>
      </c>
      <c r="L11" s="8" t="s">
        <v>73</v>
      </c>
      <c r="M11" s="8"/>
      <c r="N11" s="8"/>
    </row>
    <row r="12" customFormat="false" ht="23.85" hidden="false" customHeight="false" outlineLevel="0" collapsed="false">
      <c r="A12" s="6" t="s">
        <v>166</v>
      </c>
      <c r="B12" s="6" t="s">
        <v>99</v>
      </c>
      <c r="C12" s="6" t="s">
        <v>100</v>
      </c>
      <c r="D12" s="8" t="s">
        <v>101</v>
      </c>
      <c r="E12" s="14"/>
      <c r="F12" s="14"/>
      <c r="G12" s="14"/>
      <c r="H12" s="14"/>
      <c r="I12" s="14"/>
      <c r="J12" s="8"/>
      <c r="K12" s="11" t="str">
        <f aca="false">IF(J12="","",INDEX(Liste!$B$2:$B$4,MATCH(J12,Liste!$A$2:$A$4,0)))</f>
        <v/>
      </c>
      <c r="L12" s="8" t="s">
        <v>73</v>
      </c>
      <c r="M12" s="8"/>
      <c r="N12" s="8"/>
    </row>
    <row r="13" customFormat="false" ht="15" hidden="false" customHeight="false" outlineLevel="0" collapsed="false">
      <c r="A13" s="6" t="s">
        <v>167</v>
      </c>
      <c r="B13" s="6" t="s">
        <v>99</v>
      </c>
      <c r="C13" s="6" t="s">
        <v>103</v>
      </c>
      <c r="D13" s="8" t="s">
        <v>101</v>
      </c>
      <c r="E13" s="14"/>
      <c r="F13" s="14"/>
      <c r="G13" s="14"/>
      <c r="H13" s="14"/>
      <c r="I13" s="14"/>
      <c r="J13" s="8"/>
      <c r="K13" s="11" t="str">
        <f aca="false">IF(J13="","",INDEX(Liste!$B$2:$B$4,MATCH(J13,Liste!$A$2:$A$4,0)))</f>
        <v/>
      </c>
      <c r="L13" s="8" t="s">
        <v>73</v>
      </c>
      <c r="M13" s="8"/>
      <c r="N13" s="8"/>
    </row>
    <row r="14" customFormat="false" ht="15" hidden="false" customHeight="false" outlineLevel="0" collapsed="false">
      <c r="A14" s="6" t="s">
        <v>168</v>
      </c>
      <c r="B14" s="6" t="s">
        <v>99</v>
      </c>
      <c r="C14" s="6" t="s">
        <v>105</v>
      </c>
      <c r="D14" s="8" t="s">
        <v>101</v>
      </c>
      <c r="E14" s="14"/>
      <c r="F14" s="14"/>
      <c r="G14" s="14"/>
      <c r="H14" s="14"/>
      <c r="I14" s="14"/>
      <c r="J14" s="8"/>
      <c r="K14" s="11" t="str">
        <f aca="false">IF(J14="","",INDEX(Liste!$B$2:$B$4,MATCH(J14,Liste!$A$2:$A$4,0)))</f>
        <v/>
      </c>
      <c r="L14" s="8" t="s">
        <v>73</v>
      </c>
      <c r="M14" s="8"/>
      <c r="N14" s="8"/>
    </row>
    <row r="15" customFormat="false" ht="15" hidden="false" customHeight="false" outlineLevel="0" collapsed="false">
      <c r="A15" s="6" t="s">
        <v>169</v>
      </c>
      <c r="B15" s="6" t="s">
        <v>99</v>
      </c>
      <c r="C15" s="6" t="s">
        <v>107</v>
      </c>
      <c r="D15" s="8" t="s">
        <v>101</v>
      </c>
      <c r="E15" s="14"/>
      <c r="F15" s="14"/>
      <c r="G15" s="14"/>
      <c r="H15" s="14"/>
      <c r="I15" s="14"/>
      <c r="J15" s="8"/>
      <c r="K15" s="11" t="str">
        <f aca="false">IF(J15="","",INDEX(Liste!$B$2:$B$4,MATCH(J15,Liste!$A$2:$A$4,0)))</f>
        <v/>
      </c>
      <c r="L15" s="8" t="s">
        <v>73</v>
      </c>
      <c r="M15" s="8"/>
      <c r="N15" s="8"/>
    </row>
    <row r="16" customFormat="false" ht="15" hidden="false" customHeight="false" outlineLevel="0" collapsed="false">
      <c r="A16" s="6" t="s">
        <v>170</v>
      </c>
      <c r="B16" s="6" t="s">
        <v>109</v>
      </c>
      <c r="C16" s="6" t="s">
        <v>110</v>
      </c>
      <c r="D16" s="8" t="s">
        <v>101</v>
      </c>
      <c r="E16" s="14"/>
      <c r="F16" s="14"/>
      <c r="G16" s="14"/>
      <c r="H16" s="14"/>
      <c r="I16" s="14"/>
      <c r="J16" s="8"/>
      <c r="K16" s="11" t="str">
        <f aca="false">IF(J16="","",INDEX(Liste!$B$2:$B$4,MATCH(J16,Liste!$A$2:$A$4,0)))</f>
        <v/>
      </c>
      <c r="L16" s="8" t="s">
        <v>73</v>
      </c>
      <c r="M16" s="8"/>
      <c r="N16" s="8"/>
    </row>
    <row r="17" customFormat="false" ht="15" hidden="false" customHeight="false" outlineLevel="0" collapsed="false">
      <c r="A17" s="6" t="s">
        <v>171</v>
      </c>
      <c r="B17" s="6" t="s">
        <v>109</v>
      </c>
      <c r="C17" s="6" t="s">
        <v>112</v>
      </c>
      <c r="D17" s="8" t="s">
        <v>101</v>
      </c>
      <c r="E17" s="14"/>
      <c r="F17" s="14"/>
      <c r="G17" s="14"/>
      <c r="H17" s="14"/>
      <c r="I17" s="14"/>
      <c r="J17" s="8"/>
      <c r="K17" s="11" t="str">
        <f aca="false">IF(J17="","",INDEX(Liste!$B$2:$B$4,MATCH(J17,Liste!$A$2:$A$4,0)))</f>
        <v/>
      </c>
      <c r="L17" s="8" t="s">
        <v>73</v>
      </c>
      <c r="M17" s="8"/>
      <c r="N17" s="8"/>
    </row>
    <row r="18" customFormat="false" ht="15" hidden="false" customHeight="false" outlineLevel="0" collapsed="false">
      <c r="A18" s="6" t="s">
        <v>172</v>
      </c>
      <c r="B18" s="6" t="s">
        <v>114</v>
      </c>
      <c r="C18" s="6" t="s">
        <v>115</v>
      </c>
      <c r="D18" s="8" t="s">
        <v>116</v>
      </c>
      <c r="E18" s="14"/>
      <c r="F18" s="14"/>
      <c r="G18" s="14"/>
      <c r="H18" s="14"/>
      <c r="I18" s="14"/>
      <c r="J18" s="8"/>
      <c r="K18" s="11" t="str">
        <f aca="false">IF(J18="","",INDEX(Liste!$B$2:$B$4,MATCH(J18,Liste!$A$2:$A$4,0)))</f>
        <v/>
      </c>
      <c r="L18" s="8" t="s">
        <v>73</v>
      </c>
      <c r="M18" s="8"/>
      <c r="N18" s="8"/>
    </row>
    <row r="19" customFormat="false" ht="15" hidden="false" customHeight="false" outlineLevel="0" collapsed="false">
      <c r="A19" s="6" t="s">
        <v>173</v>
      </c>
      <c r="B19" s="6" t="s">
        <v>118</v>
      </c>
      <c r="C19" s="6" t="s">
        <v>119</v>
      </c>
      <c r="D19" s="8" t="s">
        <v>116</v>
      </c>
      <c r="E19" s="14"/>
      <c r="F19" s="14"/>
      <c r="G19" s="14"/>
      <c r="H19" s="14"/>
      <c r="I19" s="14"/>
      <c r="J19" s="8"/>
      <c r="K19" s="11" t="str">
        <f aca="false">IF(J19="","",INDEX(Liste!$B$2:$B$4,MATCH(J19,Liste!$A$2:$A$4,0)))</f>
        <v/>
      </c>
      <c r="L19" s="8" t="s">
        <v>73</v>
      </c>
      <c r="M19" s="8"/>
      <c r="N19" s="8"/>
    </row>
    <row r="20" customFormat="false" ht="15" hidden="false" customHeight="false" outlineLevel="0" collapsed="false">
      <c r="A20" s="6" t="s">
        <v>174</v>
      </c>
      <c r="B20" s="6" t="s">
        <v>118</v>
      </c>
      <c r="C20" s="6" t="s">
        <v>121</v>
      </c>
      <c r="D20" s="8" t="s">
        <v>116</v>
      </c>
      <c r="E20" s="14"/>
      <c r="F20" s="14"/>
      <c r="G20" s="14"/>
      <c r="H20" s="14"/>
      <c r="I20" s="14"/>
      <c r="J20" s="8"/>
      <c r="K20" s="11" t="str">
        <f aca="false">IF(J20="","",INDEX(Liste!$B$2:$B$4,MATCH(J20,Liste!$A$2:$A$4,0)))</f>
        <v/>
      </c>
      <c r="L20" s="8" t="s">
        <v>73</v>
      </c>
      <c r="M20" s="8"/>
      <c r="N20" s="8"/>
    </row>
    <row r="21" customFormat="false" ht="15" hidden="false" customHeight="false" outlineLevel="0" collapsed="false">
      <c r="A21" s="6" t="s">
        <v>175</v>
      </c>
      <c r="B21" s="6" t="s">
        <v>118</v>
      </c>
      <c r="C21" s="6" t="s">
        <v>123</v>
      </c>
      <c r="D21" s="8" t="s">
        <v>116</v>
      </c>
      <c r="E21" s="14"/>
      <c r="F21" s="14"/>
      <c r="G21" s="14"/>
      <c r="H21" s="14"/>
      <c r="I21" s="14"/>
      <c r="J21" s="8"/>
      <c r="K21" s="11" t="str">
        <f aca="false">IF(J21="","",INDEX(Liste!$B$2:$B$4,MATCH(J21,Liste!$A$2:$A$4,0)))</f>
        <v/>
      </c>
      <c r="L21" s="8" t="s">
        <v>73</v>
      </c>
      <c r="M21" s="8"/>
      <c r="N21" s="8"/>
    </row>
    <row r="22" customFormat="false" ht="15" hidden="false" customHeight="false" outlineLevel="0" collapsed="false">
      <c r="A22" s="6" t="s">
        <v>176</v>
      </c>
      <c r="B22" s="6" t="s">
        <v>125</v>
      </c>
      <c r="C22" s="6" t="s">
        <v>126</v>
      </c>
      <c r="D22" s="8" t="s">
        <v>116</v>
      </c>
      <c r="E22" s="14"/>
      <c r="F22" s="14"/>
      <c r="G22" s="14"/>
      <c r="H22" s="14"/>
      <c r="I22" s="14"/>
      <c r="J22" s="8"/>
      <c r="K22" s="11" t="str">
        <f aca="false">IF(J22="","",INDEX(Liste!$B$2:$B$4,MATCH(J22,Liste!$A$2:$A$4,0)))</f>
        <v/>
      </c>
      <c r="L22" s="8" t="s">
        <v>73</v>
      </c>
      <c r="M22" s="8"/>
      <c r="N22" s="8"/>
    </row>
    <row r="23" customFormat="false" ht="15" hidden="false" customHeight="false" outlineLevel="0" collapsed="false">
      <c r="A23" s="6" t="s">
        <v>177</v>
      </c>
      <c r="B23" s="6" t="s">
        <v>125</v>
      </c>
      <c r="C23" s="6" t="s">
        <v>128</v>
      </c>
      <c r="D23" s="8" t="s">
        <v>116</v>
      </c>
      <c r="E23" s="14"/>
      <c r="F23" s="14"/>
      <c r="G23" s="14"/>
      <c r="H23" s="14"/>
      <c r="I23" s="14"/>
      <c r="J23" s="8"/>
      <c r="K23" s="11" t="str">
        <f aca="false">IF(J23="","",INDEX(Liste!$B$2:$B$4,MATCH(J23,Liste!$A$2:$A$4,0)))</f>
        <v/>
      </c>
      <c r="L23" s="8" t="s">
        <v>73</v>
      </c>
      <c r="M23" s="8"/>
      <c r="N23" s="8"/>
    </row>
    <row r="24" customFormat="false" ht="15" hidden="false" customHeight="false" outlineLevel="0" collapsed="false">
      <c r="A24" s="6" t="s">
        <v>178</v>
      </c>
      <c r="B24" s="6" t="s">
        <v>130</v>
      </c>
      <c r="C24" s="6" t="s">
        <v>131</v>
      </c>
      <c r="D24" s="8" t="s">
        <v>101</v>
      </c>
      <c r="E24" s="14"/>
      <c r="F24" s="14"/>
      <c r="G24" s="14"/>
      <c r="H24" s="14"/>
      <c r="I24" s="14"/>
      <c r="J24" s="8"/>
      <c r="K24" s="11" t="str">
        <f aca="false">IF(J24="","",INDEX(Liste!$B$2:$B$4,MATCH(J24,Liste!$A$2:$A$4,0)))</f>
        <v/>
      </c>
      <c r="L24" s="8" t="s">
        <v>73</v>
      </c>
      <c r="M24" s="8"/>
      <c r="N24" s="8"/>
    </row>
    <row r="25" customFormat="false" ht="15" hidden="false" customHeight="false" outlineLevel="0" collapsed="false">
      <c r="A25" s="6" t="s">
        <v>179</v>
      </c>
      <c r="B25" s="6" t="s">
        <v>130</v>
      </c>
      <c r="C25" s="6" t="s">
        <v>133</v>
      </c>
      <c r="D25" s="8" t="s">
        <v>116</v>
      </c>
      <c r="E25" s="14"/>
      <c r="F25" s="14"/>
      <c r="G25" s="14"/>
      <c r="H25" s="14"/>
      <c r="I25" s="14"/>
      <c r="J25" s="8"/>
      <c r="K25" s="11" t="str">
        <f aca="false">IF(J25="","",INDEX(Liste!$B$2:$B$4,MATCH(J25,Liste!$A$2:$A$4,0)))</f>
        <v/>
      </c>
      <c r="L25" s="8" t="s">
        <v>73</v>
      </c>
      <c r="M25" s="8"/>
      <c r="N25" s="8"/>
    </row>
    <row r="27" customFormat="false" ht="15" hidden="false" customHeight="false" outlineLevel="0" collapsed="false">
      <c r="C27" s="12" t="s">
        <v>180</v>
      </c>
      <c r="E27" s="15" t="n">
        <f aca="false">SUM(E2:E25)</f>
        <v>0</v>
      </c>
      <c r="F27" s="15" t="n">
        <f aca="false">SUM(F2:F25)</f>
        <v>0</v>
      </c>
      <c r="G27" s="15" t="n">
        <f aca="false">SUM(G2:G25)</f>
        <v>50</v>
      </c>
      <c r="H27" s="15" t="n">
        <f aca="false">SUM(H2:H25)</f>
        <v>0</v>
      </c>
      <c r="I27" s="15" t="n">
        <f aca="false">SUM(I2:I25)</f>
        <v>0</v>
      </c>
    </row>
    <row r="28" customFormat="false" ht="15" hidden="false" customHeight="false" outlineLevel="0" collapsed="false">
      <c r="C28" s="12" t="s">
        <v>181</v>
      </c>
      <c r="E28" s="15" t="n">
        <f aca="false">SUMPRODUCT(E2:E25,1+N(+K2:K25))</f>
        <v>0</v>
      </c>
      <c r="F28" s="15" t="n">
        <f aca="false">SUMPRODUCT(F2:F25,1+N(+K2:K25))</f>
        <v>0</v>
      </c>
      <c r="G28" s="15" t="n">
        <f aca="false">SUMPRODUCT(G2:G25,1+N(+K2:K25))</f>
        <v>52.5</v>
      </c>
      <c r="H28" s="15" t="n">
        <f aca="false">SUMPRODUCT(H2:H25,1+N(+K2:K25))</f>
        <v>0</v>
      </c>
      <c r="I28" s="15" t="n">
        <f aca="false">SUMPRODUCT(I2:I25,1+N(+K2:K25))</f>
        <v>0</v>
      </c>
    </row>
    <row r="29" customFormat="false" ht="15" hidden="false" customHeight="false" outlineLevel="0" collapsed="false">
      <c r="C29" s="12" t="s">
        <v>182</v>
      </c>
      <c r="E29" s="15" t="n">
        <f aca="false">Parametri!$B$2*E28</f>
        <v>0</v>
      </c>
      <c r="F29" s="15" t="n">
        <f aca="false">Parametri!$B$2*F28</f>
        <v>0</v>
      </c>
      <c r="G29" s="15" t="n">
        <f aca="false">Parametri!$B$2*G28</f>
        <v>10.5</v>
      </c>
      <c r="H29" s="15" t="n">
        <f aca="false">Parametri!$B$2*H28</f>
        <v>0</v>
      </c>
      <c r="I29" s="15" t="n">
        <f aca="false">Parametri!$B$2*I28</f>
        <v>0</v>
      </c>
    </row>
    <row r="30" customFormat="false" ht="15" hidden="false" customHeight="false" outlineLevel="0" collapsed="false">
      <c r="C30" s="12" t="s">
        <v>183</v>
      </c>
      <c r="E30" s="15" t="n">
        <f aca="false">E28+E29</f>
        <v>0</v>
      </c>
      <c r="F30" s="15" t="n">
        <f aca="false">F28+F29</f>
        <v>0</v>
      </c>
      <c r="G30" s="15" t="n">
        <f aca="false">G28+G29</f>
        <v>63</v>
      </c>
      <c r="H30" s="15" t="n">
        <f aca="false">H28+H29</f>
        <v>0</v>
      </c>
      <c r="I30" s="15" t="n">
        <f aca="false">I28+I29</f>
        <v>0</v>
      </c>
    </row>
    <row r="32" customFormat="false" ht="23.85" hidden="false" customHeight="false" outlineLevel="0" collapsed="false">
      <c r="C32" s="16" t="s">
        <v>184</v>
      </c>
    </row>
  </sheetData>
  <dataValidations count="3">
    <dataValidation allowBlank="true" errorStyle="stop" operator="between" showDropDown="false" showErrorMessage="false" showInputMessage="false" sqref="J2:J25" type="list">
      <formula1>Liste!$A$2:$A$4</formula1>
      <formula2>0</formula2>
    </dataValidation>
    <dataValidation allowBlank="true" errorStyle="stop" operator="between" showDropDown="false" showErrorMessage="false" showInputMessage="false" sqref="L2:L25" type="list">
      <formula1>Liste!$C$2:$C$6</formula1>
      <formula2>0</formula2>
    </dataValidation>
    <dataValidation allowBlank="true" errorStyle="stop" operator="between" showDropDown="false" showErrorMessage="false" showInputMessage="false" sqref="D2:D25" type="list">
      <formula1>Liste!$D$2:$D$5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50"/>
  </cols>
  <sheetData>
    <row r="1" customFormat="false" ht="23.85" hidden="false" customHeight="false" outlineLevel="0" collapsed="false">
      <c r="A1" s="5" t="s">
        <v>57</v>
      </c>
      <c r="B1" s="5" t="s">
        <v>185</v>
      </c>
      <c r="C1" s="5" t="s">
        <v>60</v>
      </c>
      <c r="D1" s="5" t="s">
        <v>186</v>
      </c>
      <c r="E1" s="5" t="s">
        <v>187</v>
      </c>
      <c r="F1" s="5" t="s">
        <v>188</v>
      </c>
      <c r="G1" s="5" t="s">
        <v>33</v>
      </c>
      <c r="H1" s="5" t="s">
        <v>67</v>
      </c>
      <c r="I1" s="5" t="s">
        <v>68</v>
      </c>
    </row>
    <row r="2" customFormat="false" ht="23.85" hidden="false" customHeight="false" outlineLevel="0" collapsed="false">
      <c r="A2" s="6" t="s">
        <v>189</v>
      </c>
      <c r="B2" s="6" t="s">
        <v>190</v>
      </c>
      <c r="C2" s="8" t="s">
        <v>101</v>
      </c>
      <c r="D2" s="17" t="n">
        <v>6.3</v>
      </c>
      <c r="E2" s="8"/>
      <c r="F2" s="18" t="str">
        <f aca="false">IF(OR(D2="",E2=""),"",D2*E2)</f>
        <v/>
      </c>
      <c r="G2" s="8" t="s">
        <v>138</v>
      </c>
      <c r="H2" s="8" t="s">
        <v>191</v>
      </c>
      <c r="I2" s="8"/>
    </row>
    <row r="3" customFormat="false" ht="23.85" hidden="false" customHeight="false" outlineLevel="0" collapsed="false">
      <c r="A3" s="6" t="s">
        <v>192</v>
      </c>
      <c r="B3" s="6" t="s">
        <v>193</v>
      </c>
      <c r="C3" s="8" t="s">
        <v>101</v>
      </c>
      <c r="D3" s="17" t="n">
        <v>1.6</v>
      </c>
      <c r="E3" s="8"/>
      <c r="F3" s="18" t="str">
        <f aca="false">IF(OR(D3="",E3=""),"",D3*E3)</f>
        <v/>
      </c>
      <c r="G3" s="8" t="s">
        <v>138</v>
      </c>
      <c r="H3" s="8" t="s">
        <v>191</v>
      </c>
      <c r="I3" s="8"/>
    </row>
    <row r="4" customFormat="false" ht="23.85" hidden="false" customHeight="false" outlineLevel="0" collapsed="false">
      <c r="A4" s="6" t="s">
        <v>194</v>
      </c>
      <c r="B4" s="6" t="s">
        <v>195</v>
      </c>
      <c r="C4" s="8" t="s">
        <v>101</v>
      </c>
      <c r="D4" s="17" t="n">
        <v>0.7</v>
      </c>
      <c r="E4" s="8"/>
      <c r="F4" s="18" t="str">
        <f aca="false">IF(OR(D4="",E4=""),"",D4*E4)</f>
        <v/>
      </c>
      <c r="G4" s="8" t="s">
        <v>138</v>
      </c>
      <c r="H4" s="8" t="s">
        <v>191</v>
      </c>
      <c r="I4" s="8"/>
    </row>
    <row r="5" customFormat="false" ht="23.85" hidden="false" customHeight="false" outlineLevel="0" collapsed="false">
      <c r="A5" s="6" t="s">
        <v>196</v>
      </c>
      <c r="B5" s="6" t="s">
        <v>197</v>
      </c>
      <c r="C5" s="8" t="s">
        <v>101</v>
      </c>
      <c r="D5" s="17"/>
      <c r="E5" s="8"/>
      <c r="F5" s="18" t="str">
        <f aca="false">IF(OR(D5="",E5=""),"",D5*E5)</f>
        <v/>
      </c>
      <c r="G5" s="8" t="s">
        <v>73</v>
      </c>
      <c r="H5" s="8" t="s">
        <v>198</v>
      </c>
      <c r="I5" s="8"/>
    </row>
    <row r="6" customFormat="false" ht="15" hidden="false" customHeight="false" outlineLevel="0" collapsed="false">
      <c r="A6" s="6" t="s">
        <v>199</v>
      </c>
      <c r="B6" s="6" t="s">
        <v>200</v>
      </c>
      <c r="C6" s="8" t="s">
        <v>101</v>
      </c>
      <c r="D6" s="17"/>
      <c r="E6" s="8"/>
      <c r="F6" s="18" t="str">
        <f aca="false">IF(OR(D6="",E6=""),"",D6*E6)</f>
        <v/>
      </c>
      <c r="G6" s="8" t="s">
        <v>73</v>
      </c>
      <c r="H6" s="8" t="s">
        <v>201</v>
      </c>
      <c r="I6" s="8"/>
    </row>
    <row r="7" customFormat="false" ht="15" hidden="false" customHeight="false" outlineLevel="0" collapsed="false">
      <c r="A7" s="6" t="s">
        <v>202</v>
      </c>
      <c r="B7" s="6" t="s">
        <v>203</v>
      </c>
      <c r="C7" s="8" t="s">
        <v>72</v>
      </c>
      <c r="D7" s="17"/>
      <c r="E7" s="8"/>
      <c r="F7" s="18" t="str">
        <f aca="false">IF(OR(D7="",E7=""),"",D7*E7)</f>
        <v/>
      </c>
      <c r="G7" s="8" t="s">
        <v>73</v>
      </c>
      <c r="H7" s="8" t="s">
        <v>204</v>
      </c>
      <c r="I7" s="8"/>
    </row>
    <row r="9" customFormat="false" ht="15" hidden="false" customHeight="false" outlineLevel="0" collapsed="false">
      <c r="B9" s="12" t="s">
        <v>205</v>
      </c>
      <c r="F9" s="13" t="n">
        <f aca="false">SUM(F2:F7)</f>
        <v>0</v>
      </c>
    </row>
    <row r="10" customFormat="false" ht="23.85" hidden="false" customHeight="false" outlineLevel="0" collapsed="false">
      <c r="B10" s="16" t="s">
        <v>206</v>
      </c>
    </row>
    <row r="11" customFormat="false" ht="23.85" hidden="false" customHeight="false" outlineLevel="0" collapsed="false">
      <c r="B11" s="16" t="s">
        <v>207</v>
      </c>
    </row>
  </sheetData>
  <dataValidations count="2">
    <dataValidation allowBlank="true" errorStyle="stop" operator="between" showDropDown="false" showErrorMessage="false" showInputMessage="false" sqref="G2:G7" type="list">
      <formula1>Liste!$C$2:$C$6</formula1>
      <formula2>0</formula2>
    </dataValidation>
    <dataValidation allowBlank="true" errorStyle="stop" operator="between" showDropDown="false" showErrorMessage="false" showInputMessage="false" sqref="C2:C7" type="list">
      <formula1>Liste!$D$2:$D$5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6" min="4" style="0" width="9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50"/>
  </cols>
  <sheetData>
    <row r="1" customFormat="false" ht="23.85" hidden="false" customHeight="false" outlineLevel="0" collapsed="false">
      <c r="A1" s="5" t="s">
        <v>57</v>
      </c>
      <c r="B1" s="5" t="s">
        <v>59</v>
      </c>
      <c r="C1" s="5" t="s">
        <v>60</v>
      </c>
      <c r="D1" s="5" t="s">
        <v>208</v>
      </c>
      <c r="E1" s="5" t="s">
        <v>209</v>
      </c>
      <c r="F1" s="5" t="s">
        <v>210</v>
      </c>
      <c r="G1" s="5" t="s">
        <v>211</v>
      </c>
      <c r="H1" s="5" t="s">
        <v>33</v>
      </c>
      <c r="I1" s="5" t="s">
        <v>67</v>
      </c>
      <c r="J1" s="5" t="s">
        <v>68</v>
      </c>
    </row>
    <row r="2" customFormat="false" ht="15" hidden="false" customHeight="false" outlineLevel="0" collapsed="false">
      <c r="A2" s="6" t="s">
        <v>212</v>
      </c>
      <c r="B2" s="6" t="s">
        <v>213</v>
      </c>
      <c r="C2" s="8" t="s">
        <v>72</v>
      </c>
      <c r="D2" s="8" t="n">
        <v>93.8</v>
      </c>
      <c r="E2" s="8" t="n">
        <v>95</v>
      </c>
      <c r="F2" s="8" t="n">
        <v>250</v>
      </c>
      <c r="G2" s="18" t="n">
        <f aca="false">IF(OR(D2="",E2="",F2=""),"",D2*E2*F2/1000000)</f>
        <v>2.22775</v>
      </c>
      <c r="I2" s="8" t="s">
        <v>91</v>
      </c>
      <c r="J2" s="8" t="s">
        <v>214</v>
      </c>
    </row>
    <row r="3" customFormat="false" ht="15" hidden="false" customHeight="false" outlineLevel="0" collapsed="false">
      <c r="A3" s="6" t="s">
        <v>215</v>
      </c>
      <c r="B3" s="6" t="s">
        <v>216</v>
      </c>
      <c r="C3" s="8" t="s">
        <v>101</v>
      </c>
      <c r="D3" s="8"/>
      <c r="E3" s="8"/>
      <c r="F3" s="8"/>
      <c r="G3" s="18" t="str">
        <f aca="false">IF(OR(D3="",E3="",F3=""),"",D3*E3*F3/1000000)</f>
        <v/>
      </c>
      <c r="I3" s="8" t="s">
        <v>217</v>
      </c>
      <c r="J3" s="8"/>
    </row>
    <row r="4" customFormat="false" ht="15" hidden="false" customHeight="false" outlineLevel="0" collapsed="false">
      <c r="A4" s="6" t="s">
        <v>218</v>
      </c>
      <c r="B4" s="6" t="s">
        <v>219</v>
      </c>
      <c r="C4" s="8" t="s">
        <v>72</v>
      </c>
      <c r="D4" s="8"/>
      <c r="E4" s="8"/>
      <c r="F4" s="8"/>
      <c r="G4" s="18" t="str">
        <f aca="false">IF(OR(D4="",E4="",F4=""),"",D4*E4*F4/1000000)</f>
        <v/>
      </c>
      <c r="I4" s="8" t="s">
        <v>220</v>
      </c>
      <c r="J4" s="8"/>
    </row>
    <row r="5" customFormat="false" ht="15" hidden="false" customHeight="false" outlineLevel="0" collapsed="false">
      <c r="A5" s="6" t="s">
        <v>221</v>
      </c>
      <c r="B5" s="6" t="s">
        <v>94</v>
      </c>
      <c r="C5" s="8" t="s">
        <v>72</v>
      </c>
      <c r="D5" s="8"/>
      <c r="E5" s="8"/>
      <c r="F5" s="8"/>
      <c r="G5" s="18" t="str">
        <f aca="false">IF(OR(D5="",E5="",F5=""),"",D5*E5*F5/1000000)</f>
        <v/>
      </c>
      <c r="I5" s="8" t="s">
        <v>222</v>
      </c>
      <c r="J5" s="8"/>
    </row>
    <row r="6" customFormat="false" ht="15" hidden="false" customHeight="false" outlineLevel="0" collapsed="false">
      <c r="A6" s="6" t="s">
        <v>223</v>
      </c>
      <c r="B6" s="6" t="s">
        <v>224</v>
      </c>
      <c r="C6" s="8" t="s">
        <v>101</v>
      </c>
      <c r="D6" s="8"/>
      <c r="E6" s="8"/>
      <c r="F6" s="8"/>
      <c r="G6" s="18" t="str">
        <f aca="false">IF(OR(D6="",E6="",F6=""),"",D6*E6*F6/1000000)</f>
        <v/>
      </c>
      <c r="I6" s="8" t="s">
        <v>225</v>
      </c>
      <c r="J6" s="8"/>
    </row>
    <row r="7" customFormat="false" ht="15" hidden="false" customHeight="false" outlineLevel="0" collapsed="false">
      <c r="A7" s="6" t="s">
        <v>226</v>
      </c>
      <c r="B7" s="6" t="s">
        <v>114</v>
      </c>
      <c r="C7" s="8" t="s">
        <v>116</v>
      </c>
      <c r="D7" s="8"/>
      <c r="E7" s="8"/>
      <c r="F7" s="8"/>
      <c r="G7" s="18" t="str">
        <f aca="false">IF(OR(D7="",E7="",F7=""),"",D7*E7*F7/1000000)</f>
        <v/>
      </c>
      <c r="I7" s="8"/>
      <c r="J7" s="8"/>
    </row>
    <row r="8" customFormat="false" ht="15" hidden="false" customHeight="false" outlineLevel="0" collapsed="false">
      <c r="A8" s="6" t="s">
        <v>227</v>
      </c>
      <c r="B8" s="6" t="s">
        <v>228</v>
      </c>
      <c r="C8" s="8" t="s">
        <v>116</v>
      </c>
      <c r="D8" s="8"/>
      <c r="E8" s="8"/>
      <c r="F8" s="8"/>
      <c r="G8" s="18" t="str">
        <f aca="false">IF(OR(D8="",E8="",F8=""),"",D8*E8*F8/1000000)</f>
        <v/>
      </c>
      <c r="I8" s="8"/>
      <c r="J8" s="8"/>
    </row>
    <row r="10" customFormat="false" ht="15" hidden="false" customHeight="false" outlineLevel="0" collapsed="false">
      <c r="B10" s="12" t="s">
        <v>229</v>
      </c>
      <c r="G10" s="13" t="n">
        <f aca="false">SUM(G2:G8)</f>
        <v>2.22775</v>
      </c>
    </row>
    <row r="11" customFormat="false" ht="23.85" hidden="false" customHeight="false" outlineLevel="0" collapsed="false">
      <c r="B11" s="12" t="s">
        <v>230</v>
      </c>
      <c r="G11" s="13" t="n">
        <f aca="false">Parametri!$B$9*Parametri!$B$10*Parametri!$B$11/1000000</f>
        <v>23.25010726</v>
      </c>
    </row>
    <row r="12" customFormat="false" ht="15" hidden="false" customHeight="false" outlineLevel="0" collapsed="false">
      <c r="B12" s="12" t="s">
        <v>231</v>
      </c>
      <c r="G12" s="19" t="n">
        <f aca="false">G10/G11</f>
        <v>0.095816762266412</v>
      </c>
    </row>
    <row r="13" customFormat="false" ht="35.05" hidden="false" customHeight="false" outlineLevel="0" collapsed="false">
      <c r="B13" s="16" t="s">
        <v>232</v>
      </c>
    </row>
  </sheetData>
  <dataValidations count="1">
    <dataValidation allowBlank="true" errorStyle="stop" operator="between" showDropDown="false" showErrorMessage="false" showInputMessage="false" sqref="H2:H8" type="list">
      <formula1>Liste!$C$2:$C$6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64</v>
      </c>
      <c r="B1" s="2" t="s">
        <v>233</v>
      </c>
      <c r="C1" s="2" t="s">
        <v>33</v>
      </c>
      <c r="D1" s="2" t="s">
        <v>234</v>
      </c>
    </row>
    <row r="2" customFormat="false" ht="15" hidden="false" customHeight="false" outlineLevel="0" collapsed="false">
      <c r="A2" s="4" t="s">
        <v>89</v>
      </c>
      <c r="B2" s="20" t="n">
        <v>0.05</v>
      </c>
      <c r="C2" s="4" t="s">
        <v>90</v>
      </c>
      <c r="D2" s="4" t="s">
        <v>72</v>
      </c>
    </row>
    <row r="3" customFormat="false" ht="15" hidden="false" customHeight="false" outlineLevel="0" collapsed="false">
      <c r="A3" s="4" t="s">
        <v>235</v>
      </c>
      <c r="B3" s="20" t="n">
        <v>0.1</v>
      </c>
      <c r="C3" s="4" t="s">
        <v>138</v>
      </c>
      <c r="D3" s="4" t="s">
        <v>101</v>
      </c>
    </row>
    <row r="4" customFormat="false" ht="15" hidden="false" customHeight="false" outlineLevel="0" collapsed="false">
      <c r="A4" s="4" t="s">
        <v>137</v>
      </c>
      <c r="B4" s="20" t="n">
        <v>0.2</v>
      </c>
      <c r="C4" s="4" t="s">
        <v>236</v>
      </c>
      <c r="D4" s="4" t="s">
        <v>237</v>
      </c>
    </row>
    <row r="5" customFormat="false" ht="15" hidden="false" customHeight="false" outlineLevel="0" collapsed="false">
      <c r="C5" s="4" t="s">
        <v>116</v>
      </c>
      <c r="D5" s="4" t="s">
        <v>116</v>
      </c>
    </row>
    <row r="6" customFormat="false" ht="15" hidden="false" customHeight="false" outlineLevel="0" collapsed="false">
      <c r="C6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2026-10-23T19:14:17Z</dcterms:created>
  <dc:creator>openpyxl</dc:creator>
  <dc:description/>
  <dc:language>en-US</dc:language>
  <cp:lastModifiedBy/>
  <dcterms:modified xsi:type="dcterms:W3CDTF">2026-10-23T19:14:17Z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