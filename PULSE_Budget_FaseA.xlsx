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Giuliano</t>
        </is>
      </c>
      <c r="E18" s="30" t="n">
        <v>1</v>
      </c>
      <c r="F18" s="31" t="n">
        <v>0.1</v>
      </c>
      <c r="G18" s="32">
        <f>IF(OR(E18="",F18=""),"",E18*F18)</f>
        <v/>
      </c>
      <c r="H18" s="30" t="inlineStr">
        <is>
          <t>Catalogo</t>
        </is>
      </c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Datasheet</t>
        </is>
      </c>
      <c r="L18" s="30" t="inlineStr">
        <is>
          <t>D-104, D-121</t>
        </is>
      </c>
      <c r="M18" s="30" t="inlineStr">
        <is>
          <t>Classe ISIS iOBC: 76 g scheda, 100 g con scheda figlia; 96 × 90 × 12,4 mm; −25/+65 °C</t>
        </is>
      </c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>
        <v>6</v>
      </c>
      <c r="F19" s="31" t="n">
        <v>0.55</v>
      </c>
      <c r="G19" s="32">
        <f>IF(OR(E19="",F19=""),"",E19*F19)</f>
        <v/>
      </c>
      <c r="H19" s="30" t="inlineStr">
        <is>
          <t>Catalogo modificato</t>
        </is>
      </c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Stima</t>
        </is>
      </c>
      <c r="L19" s="30" t="inlineStr">
        <is>
          <t>D-106, D-108, D-119</t>
        </is>
      </c>
      <c r="M19" s="30" t="inlineStr">
        <is>
          <t>6 ali 226 × 454 mm (S1, substrato FR4/alluminio): 5,0–5,5 kg/m² con celle a catalogo (AAC Photon 3U 135 g, ISIS 3U 150 g) × 0,103 m²; celle 118 g per ala (D-108). Con 8 ali (R-56) +1,1 kg</t>
        </is>
      </c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>
        <v>1</v>
      </c>
      <c r="F20" s="31" t="n">
        <v>0.75</v>
      </c>
      <c r="G20" s="32">
        <f>IF(OR(E20="",F20=""),"",E20*F20)</f>
        <v/>
      </c>
      <c r="H20" s="30" t="inlineStr">
        <is>
          <t>Catalogo modificato</t>
        </is>
      </c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Stima</t>
        </is>
      </c>
      <c r="L20" s="30" t="inlineStr">
        <is>
          <t>D-109, D-121</t>
        </is>
      </c>
      <c r="M20" s="30" t="inlineStr">
        <is>
          <t>4S3P, 12 celle 18650 2,6 Ah: 62,5 g per cella scalati da GomSpace BPX (500 g per 8 celle, con elettronica e riscaldatori da 6 W)</t>
        </is>
      </c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>
        <v>0.282</v>
      </c>
      <c r="G21" s="32">
        <f>IF(OR(E21="",F21=""),"",E21*F21)</f>
        <v/>
      </c>
      <c r="H21" s="30" t="inlineStr">
        <is>
          <t>Catalogo</t>
        </is>
      </c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Datasheet</t>
        </is>
      </c>
      <c r="L21" s="30" t="inlineStr">
        <is>
          <t>D-104, D-121</t>
        </is>
      </c>
      <c r="M21" s="30" t="inlineStr">
        <is>
          <t>Classe GomSpace P60: base &lt; 80 g + 2 ACU × 54 g + 2 PDU × 47 g (2 ACU per avere ingressi anche per 8 ali); 92 × 88,9 × 28,9 mm; −35/+85 °C</t>
        </is>
      </c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Giuliano</t>
        </is>
      </c>
      <c r="E22" s="30" t="n">
        <v>1</v>
      </c>
      <c r="F22" s="31" t="n">
        <v>2.5</v>
      </c>
      <c r="G22" s="32">
        <f>IF(OR(E22="",F22=""),"",E22*F22)</f>
        <v/>
      </c>
      <c r="H22" s="30" t="inlineStr">
        <is>
          <t>Catalogo modificato</t>
        </is>
      </c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Datasheet</t>
        </is>
      </c>
      <c r="L22" s="30" t="inlineStr">
        <is>
          <t>D-036, D-120</t>
        </is>
      </c>
      <c r="M22" s="30" t="inlineStr">
        <is>
          <t>Classe EnduroSat 16U (Al 6082, 226,3 × 226,3 × 454 mm, viti e 6 anelli compresi). Catalogo modificato: attacchi per ali, motore e radiatore</t>
        </is>
      </c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Giuliano</t>
        </is>
      </c>
      <c r="E23" s="30" t="n">
        <v>6</v>
      </c>
      <c r="F23" s="31" t="n">
        <v>0.06</v>
      </c>
      <c r="G23" s="32">
        <f>IF(OR(E23="",F23=""),"",E23*F23)</f>
        <v/>
      </c>
      <c r="H23" s="30" t="inlineStr">
        <is>
          <t>Nuovo</t>
        </is>
      </c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Stima</t>
        </is>
      </c>
      <c r="L23" s="30" t="inlineStr">
        <is>
          <t>D-106, D-121</t>
        </is>
      </c>
      <c r="M23" s="30" t="inlineStr">
        <is>
          <t>2 cerniere a molla + 1 sgancio (classe filo che brucia o vite termica) per ala, ~60 g per ala: stima di primo ordine, nessuna fonte con massa (TBC)</t>
        </is>
      </c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>
        <v>1</v>
      </c>
      <c r="F25" s="31" t="n">
        <v>0.45</v>
      </c>
      <c r="G25" s="32">
        <f>IF(OR(E25="",F25=""),"",E25*F25)</f>
        <v/>
      </c>
      <c r="H25" s="30" t="inlineStr">
        <is>
          <t>Nuovo</t>
        </is>
      </c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Stima</t>
        </is>
      </c>
      <c r="L25" s="30" t="inlineStr">
        <is>
          <t>D-116, D-122</t>
        </is>
      </c>
      <c r="M25" s="30" t="inlineStr">
        <is>
          <t>MLI sul corpo ~0,26 m² × ~0,35 kg/m² ≈ 0,09 kg; radiatore Al 1 mm 600 cm² + vernice ≈ 0,17 kg; collegamenti termici e rinforzi ≈ 0,15 kg; riscaldatori, termostati e sensori ≈ 0,04 kg. Stima di primo ordine (A5.8.4), TBC</t>
        </is>
      </c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Giuliano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Giuliano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Giuliano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Giuliano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>
        <v>0.7</v>
      </c>
      <c r="F25" s="36" t="n">
        <v>0.7</v>
      </c>
      <c r="G25" s="36" t="n">
        <v>0.7</v>
      </c>
      <c r="H25" s="36" t="n">
        <v>0.7</v>
      </c>
      <c r="I25" s="36" t="n">
        <v>5.7</v>
      </c>
      <c r="J25" s="30" t="inlineStr">
        <is>
          <t>Nuovo</t>
        </is>
      </c>
      <c r="K25" s="33">
        <f>IF(J25="","",INDEX(Liste!$B$2:$B$4,MATCH(J25,Liste!$A$2:$A$4,0)))</f>
        <v/>
      </c>
      <c r="L25" s="30" t="inlineStr">
        <is>
          <t>Calcolo</t>
        </is>
      </c>
      <c r="M25" s="30" t="inlineStr">
        <is>
          <t>D-116, D-122, DR-68</t>
        </is>
      </c>
      <c r="N25" s="30" t="inlineStr">
        <is>
          <t>Modello a nodi A5.8.3 (a5_8_3_modello_nodi.py, radiatore 600 cm²): riprese, spinta e scarico 0,7 W = media del giorno peggiore di routine (fine maggio-giugno, 17 Wh/giorno; DR-68 ≤ 2,8 W); riposo/safe 5,7 W = giorno senza spinta, caso più freddo (137 Wh/giorno, picco 15 W); safe vero e proprio ~0,4 W. Riscaldatori della batteria compresi (D-104). Sostituisce l'allocazione 2,8/9 W di Giuliano (31/10/2026) | 31/10/2026: D-122 approvata da Giuliano (0,7 W nei modi operativi, 5,7 W in riposo = giorno senza spinta, 0,4 W in safe)</t>
        </is>
      </c>
    </row>
    <row r="26"/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1"/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247</v>
      </c>
      <c r="G2" s="40">
        <f>IF(OR(D2="",E2="",F2=""),"",D2*E2*F2/1000000)</f>
        <v/>
      </c>
      <c r="H2" s="21" t="inlineStr">
        <is>
          <t>Stima</t>
        </is>
      </c>
      <c r="I2" s="30" t="inlineStr">
        <is>
          <t>D-034, D-117</t>
        </is>
      </c>
      <c r="J2" s="30" t="inlineStr">
        <is>
          <t>Due blocchi (D-117): motore + elettronica con ugello su −X e serbatoio separato, 2,2U in tutto (EarthNext Tab. 3). Z = somma delle profondità dei due blocchi a pari sezione (2,2 L / (93,8 × 95 mm)); ripartizione TBC (ICD T4i). Fetta disponibile su −X con D-118: ~86 mm (~126 mm con la sporgenza)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Giuliano</t>
        </is>
      </c>
      <c r="D7" s="30" t="n">
        <v>96</v>
      </c>
      <c r="E7" s="30" t="n">
        <v>90</v>
      </c>
      <c r="F7" s="30" t="n">
        <v>12.4</v>
      </c>
      <c r="G7" s="40">
        <f>IF(OR(D7="",E7="",F7=""),"",D7*E7*F7/1000000)</f>
        <v/>
      </c>
      <c r="H7" s="21" t="inlineStr">
        <is>
          <t>Datasheet</t>
        </is>
      </c>
      <c r="I7" s="30" t="inlineStr">
        <is>
          <t>D-104, D-121</t>
        </is>
      </c>
      <c r="J7" s="30" t="inlineStr">
        <is>
          <t>Classe ISIS iOBC (formato PC104)</t>
        </is>
      </c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>
        <v>92</v>
      </c>
      <c r="E8" s="30" t="n">
        <v>89</v>
      </c>
      <c r="F8" s="30" t="n">
        <v>90.90000000000001</v>
      </c>
      <c r="G8" s="40">
        <f>IF(OR(D8="",E8="",F8=""),"",D8*E8*F8/1000000)</f>
        <v/>
      </c>
      <c r="H8" s="21" t="inlineStr">
        <is>
          <t>Stima</t>
        </is>
      </c>
      <c r="I8" s="30" t="inlineStr">
        <is>
          <t>D-104, D-109, D-121</t>
        </is>
      </c>
      <c r="J8" s="30" t="inlineStr">
        <is>
          <t>Pila PC104: PCDU P60 92 × 88,9 × 28,9 mm + batteria 4S3P ~93 × 86 × 62 mm (stima scalata da GomSpace BPX 93 × 86 × 41 per 8 celle). Altezza = somma</t>
        </is>
      </c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2026-10-31T13:27:42Z</dcterms:modified>
  <cp:revision>0</cp:revision>
</cp:coreProperties>
</file>