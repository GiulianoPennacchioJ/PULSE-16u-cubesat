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in A5.6.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</t>
        </is>
      </c>
      <c r="D2" s="30" t="inlineStr">
        <is>
          <t>Giuliano</t>
        </is>
      </c>
      <c r="E2" s="30" t="n">
        <v>4</v>
      </c>
      <c r="F2" s="31" t="n"/>
      <c r="G2" s="32">
        <f>IF(OR(E2="",F2=""),"",E2*F2)</f>
        <v/>
      </c>
      <c r="H2" s="30" t="n"/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TBD</t>
        </is>
      </c>
      <c r="L2" s="30" t="n"/>
      <c r="M2" s="30" t="n"/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</t>
        </is>
      </c>
      <c r="D3" s="30" t="inlineStr">
        <is>
          <t>Giuliano</t>
        </is>
      </c>
      <c r="E3" s="30" t="n"/>
      <c r="F3" s="31" t="n"/>
      <c r="G3" s="32">
        <f>IF(OR(E3="",F3=""),"",E3*F3)</f>
        <v/>
      </c>
      <c r="H3" s="30" t="n"/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TBD</t>
        </is>
      </c>
      <c r="L3" s="30" t="n"/>
      <c r="M3" s="30" t="n"/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 / IMU</t>
        </is>
      </c>
      <c r="D4" s="30" t="inlineStr">
        <is>
          <t>Giuliano</t>
        </is>
      </c>
      <c r="E4" s="30" t="n">
        <v>1</v>
      </c>
      <c r="F4" s="31" t="n"/>
      <c r="G4" s="32">
        <f>IF(OR(E4="",F4=""),"",E4*F4)</f>
        <v/>
      </c>
      <c r="H4" s="30" t="n"/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TBD</t>
        </is>
      </c>
      <c r="L4" s="30" t="n"/>
      <c r="M4" s="30" t="n"/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</t>
        </is>
      </c>
      <c r="D5" s="30" t="inlineStr">
        <is>
          <t>Giuliano</t>
        </is>
      </c>
      <c r="E5" s="30" t="n">
        <v>3</v>
      </c>
      <c r="F5" s="31" t="n"/>
      <c r="G5" s="32">
        <f>IF(OR(E5="",F5=""),"",E5*F5)</f>
        <v/>
      </c>
      <c r="H5" s="30" t="n"/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TBD</t>
        </is>
      </c>
      <c r="L5" s="30" t="n"/>
      <c r="M5" s="30" t="n"/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0" t="n">
        <v>1</v>
      </c>
      <c r="F6" s="31" t="n"/>
      <c r="G6" s="32">
        <f>IF(OR(E6="",F6=""),"",E6*F6)</f>
        <v/>
      </c>
      <c r="H6" s="30" t="n"/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TBD</t>
        </is>
      </c>
      <c r="L6" s="30" t="n"/>
      <c r="M6" s="30" t="n"/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</t>
        </is>
      </c>
      <c r="D7" s="30" t="inlineStr">
        <is>
          <t>Giuliano</t>
        </is>
      </c>
      <c r="E7" s="30" t="n"/>
      <c r="F7" s="31" t="n"/>
      <c r="G7" s="32">
        <f>IF(OR(E7="",F7=""),"",E7*F7)</f>
        <v/>
      </c>
      <c r="H7" s="30" t="n"/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TBD</t>
        </is>
      </c>
      <c r="L7" s="30" t="n"/>
      <c r="M7" s="30" t="n"/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</t>
        </is>
      </c>
      <c r="D8" s="30" t="inlineStr">
        <is>
          <t>Giuliano</t>
        </is>
      </c>
      <c r="E8" s="30" t="n">
        <v>1</v>
      </c>
      <c r="F8" s="31" t="n"/>
      <c r="G8" s="32">
        <f>IF(OR(E8="",F8=""),"",E8*F8)</f>
        <v/>
      </c>
      <c r="H8" s="30" t="n"/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TBD</t>
        </is>
      </c>
      <c r="L8" s="30" t="n"/>
      <c r="M8" s="30" t="n"/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 (bande da A5.5)</t>
        </is>
      </c>
      <c r="D10" s="30" t="inlineStr">
        <is>
          <t>Giuliano</t>
        </is>
      </c>
      <c r="E10" s="30" t="n"/>
      <c r="F10" s="31" t="n"/>
      <c r="G10" s="32">
        <f>IF(OR(E10="",F10=""),"",E10*F10)</f>
        <v/>
      </c>
      <c r="H10" s="30" t="n"/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TBD</t>
        </is>
      </c>
      <c r="L10" s="30" t="n"/>
      <c r="M10" s="30" t="n"/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</t>
        </is>
      </c>
      <c r="D11" s="30" t="inlineStr">
        <is>
          <t>Giuliano</t>
        </is>
      </c>
      <c r="E11" s="30" t="n"/>
      <c r="F11" s="31" t="n"/>
      <c r="G11" s="32">
        <f>IF(OR(E11="",F11=""),"",E11*F11)</f>
        <v/>
      </c>
      <c r="H11" s="30" t="n"/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TBD</t>
        </is>
      </c>
      <c r="L11" s="30" t="n"/>
      <c r="M11" s="30" t="n"/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TMA (specchi + struttura ottica)</t>
        </is>
      </c>
      <c r="D12" s="30" t="inlineStr">
        <is>
          <t>Giuseppe</t>
        </is>
      </c>
      <c r="E12" s="30" t="n">
        <v>1</v>
      </c>
      <c r="F12" s="31" t="n"/>
      <c r="G12" s="32">
        <f>IF(OR(E12="",F12=""),"",E12*F12)</f>
        <v/>
      </c>
      <c r="H12" s="30" t="n"/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TBD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/>
      <c r="G13" s="32">
        <f>IF(OR(E13="",F13=""),"",E13*F13)</f>
        <v/>
      </c>
      <c r="H13" s="30" t="n"/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TBD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/>
      <c r="G14" s="32">
        <f>IF(OR(E14="",F14=""),"",E14*F14)</f>
        <v/>
      </c>
      <c r="H14" s="30" t="n"/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TBD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0" t="n"/>
      <c r="F15" s="31" t="n"/>
      <c r="G15" s="32">
        <f>IF(OR(E15="",F15=""),"",E15*F15)</f>
        <v/>
      </c>
      <c r="H15" s="30" t="n"/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TBD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0" t="n">
        <v>1</v>
      </c>
      <c r="F16" s="31" t="n"/>
      <c r="G16" s="32">
        <f>IF(OR(E16="",F16=""),"",E16*F16)</f>
        <v/>
      </c>
      <c r="H16" s="30" t="n"/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TBD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0" t="n"/>
      <c r="F17" s="31" t="n"/>
      <c r="G17" s="32">
        <f>IF(OR(E17="",F17=""),"",E17*F17)</f>
        <v/>
      </c>
      <c r="H17" s="30" t="n"/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TBD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/>
      <c r="F24" s="31" t="n"/>
      <c r="G24" s="32">
        <f>IF(OR(E24="",F24=""),"",E24*F24)</f>
        <v/>
      </c>
      <c r="H24" s="30" t="n"/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TBD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</t>
        </is>
      </c>
      <c r="D2" s="30" t="inlineStr">
        <is>
          <t>Giuliano</t>
        </is>
      </c>
      <c r="E2" s="36" t="n"/>
      <c r="F2" s="36" t="n"/>
      <c r="G2" s="36" t="n"/>
      <c r="H2" s="36" t="n"/>
      <c r="I2" s="36" t="n"/>
      <c r="J2" s="30" t="n"/>
      <c r="K2" s="33">
        <f>IF(J2="","",INDEX(Liste!$B$2:$B$4,MATCH(J2,Liste!$A$2:$A$4,0)))</f>
        <v/>
      </c>
      <c r="L2" s="30" t="inlineStr">
        <is>
          <t>TBD</t>
        </is>
      </c>
      <c r="M2" s="30" t="n"/>
      <c r="N2" s="30" t="n"/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</t>
        </is>
      </c>
      <c r="D3" s="30" t="inlineStr">
        <is>
          <t>Giuliano</t>
        </is>
      </c>
      <c r="E3" s="36" t="n"/>
      <c r="F3" s="36" t="n"/>
      <c r="G3" s="36" t="n"/>
      <c r="H3" s="36" t="n"/>
      <c r="I3" s="36" t="n"/>
      <c r="J3" s="30" t="n"/>
      <c r="K3" s="33">
        <f>IF(J3="","",INDEX(Liste!$B$2:$B$4,MATCH(J3,Liste!$A$2:$A$4,0)))</f>
        <v/>
      </c>
      <c r="L3" s="30" t="inlineStr">
        <is>
          <t>TBD</t>
        </is>
      </c>
      <c r="M3" s="30" t="n"/>
      <c r="N3" s="30" t="n"/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 / IMU</t>
        </is>
      </c>
      <c r="D4" s="30" t="inlineStr">
        <is>
          <t>Giuliano</t>
        </is>
      </c>
      <c r="E4" s="36" t="n"/>
      <c r="F4" s="36" t="n"/>
      <c r="G4" s="36" t="n"/>
      <c r="H4" s="36" t="n"/>
      <c r="I4" s="36" t="n"/>
      <c r="J4" s="30" t="n"/>
      <c r="K4" s="33">
        <f>IF(J4="","",INDEX(Liste!$B$2:$B$4,MATCH(J4,Liste!$A$2:$A$4,0)))</f>
        <v/>
      </c>
      <c r="L4" s="30" t="inlineStr">
        <is>
          <t>TBD</t>
        </is>
      </c>
      <c r="M4" s="30" t="n"/>
      <c r="N4" s="30" t="n"/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</t>
        </is>
      </c>
      <c r="D5" s="30" t="inlineStr">
        <is>
          <t>Giuliano</t>
        </is>
      </c>
      <c r="E5" s="36" t="n"/>
      <c r="F5" s="36" t="n"/>
      <c r="G5" s="36" t="n"/>
      <c r="H5" s="36" t="n"/>
      <c r="I5" s="36" t="n"/>
      <c r="J5" s="30" t="n"/>
      <c r="K5" s="33">
        <f>IF(J5="","",INDEX(Liste!$B$2:$B$4,MATCH(J5,Liste!$A$2:$A$4,0)))</f>
        <v/>
      </c>
      <c r="L5" s="30" t="inlineStr">
        <is>
          <t>TBD</t>
        </is>
      </c>
      <c r="M5" s="30" t="n"/>
      <c r="N5" s="30" t="n"/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/>
      <c r="F6" s="36" t="n"/>
      <c r="G6" s="36" t="n"/>
      <c r="H6" s="36" t="n"/>
      <c r="I6" s="36" t="n"/>
      <c r="J6" s="30" t="n"/>
      <c r="K6" s="33">
        <f>IF(J6="","",INDEX(Liste!$B$2:$B$4,MATCH(J6,Liste!$A$2:$A$4,0)))</f>
        <v/>
      </c>
      <c r="L6" s="30" t="inlineStr">
        <is>
          <t>TBD</t>
        </is>
      </c>
      <c r="M6" s="30" t="n"/>
      <c r="N6" s="30" t="n"/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</t>
        </is>
      </c>
      <c r="D7" s="30" t="inlineStr">
        <is>
          <t>Giuliano</t>
        </is>
      </c>
      <c r="E7" s="36" t="n"/>
      <c r="F7" s="36" t="n"/>
      <c r="G7" s="36" t="n"/>
      <c r="H7" s="36" t="n"/>
      <c r="I7" s="36" t="n"/>
      <c r="J7" s="30" t="n"/>
      <c r="K7" s="33">
        <f>IF(J7="","",INDEX(Liste!$B$2:$B$4,MATCH(J7,Liste!$A$2:$A$4,0)))</f>
        <v/>
      </c>
      <c r="L7" s="30" t="inlineStr">
        <is>
          <t>TBD</t>
        </is>
      </c>
      <c r="M7" s="30" t="n"/>
      <c r="N7" s="30" t="n"/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 + antenna</t>
        </is>
      </c>
      <c r="D8" s="30" t="inlineStr">
        <is>
          <t>Giuliano</t>
        </is>
      </c>
      <c r="E8" s="36" t="n"/>
      <c r="F8" s="36" t="n"/>
      <c r="G8" s="36" t="n"/>
      <c r="H8" s="36" t="n"/>
      <c r="I8" s="36" t="n"/>
      <c r="J8" s="30" t="n"/>
      <c r="K8" s="33">
        <f>IF(J8="","",INDEX(Liste!$B$2:$B$4,MATCH(J8,Liste!$A$2:$A$4,0)))</f>
        <v/>
      </c>
      <c r="L8" s="30" t="inlineStr">
        <is>
          <t>TBD</t>
        </is>
      </c>
      <c r="M8" s="30" t="n"/>
      <c r="N8" s="30" t="n"/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 (bande da A5.5)</t>
        </is>
      </c>
      <c r="D10" s="30" t="inlineStr">
        <is>
          <t>Giuliano</t>
        </is>
      </c>
      <c r="E10" s="36" t="n"/>
      <c r="F10" s="36" t="n"/>
      <c r="G10" s="36" t="n"/>
      <c r="H10" s="36" t="n"/>
      <c r="I10" s="36" t="n"/>
      <c r="J10" s="30" t="n"/>
      <c r="K10" s="33">
        <f>IF(J10="","",INDEX(Liste!$B$2:$B$4,MATCH(J10,Liste!$A$2:$A$4,0)))</f>
        <v/>
      </c>
      <c r="L10" s="30" t="inlineStr">
        <is>
          <t>TBD</t>
        </is>
      </c>
      <c r="M10" s="30" t="n"/>
      <c r="N10" s="30" t="n"/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</t>
        </is>
      </c>
      <c r="D11" s="30" t="inlineStr">
        <is>
          <t>Giuliano</t>
        </is>
      </c>
      <c r="E11" s="36" t="n"/>
      <c r="F11" s="36" t="n"/>
      <c r="G11" s="36" t="n"/>
      <c r="H11" s="36" t="n"/>
      <c r="I11" s="36" t="n"/>
      <c r="J11" s="30" t="n"/>
      <c r="K11" s="33">
        <f>IF(J11="","",INDEX(Liste!$B$2:$B$4,MATCH(J11,Liste!$A$2:$A$4,0)))</f>
        <v/>
      </c>
      <c r="L11" s="30" t="inlineStr">
        <is>
          <t>TBD</t>
        </is>
      </c>
      <c r="M11" s="30" t="n"/>
      <c r="N11" s="30" t="n"/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TMA (specchi + struttura ottica)</t>
        </is>
      </c>
      <c r="D12" s="30" t="inlineStr">
        <is>
          <t>Giuseppe</t>
        </is>
      </c>
      <c r="E12" s="36" t="n"/>
      <c r="F12" s="36" t="n"/>
      <c r="G12" s="36" t="n"/>
      <c r="H12" s="36" t="n"/>
      <c r="I12" s="36" t="n"/>
      <c r="J12" s="30" t="n"/>
      <c r="K12" s="33">
        <f>IF(J12="","",INDEX(Liste!$B$2:$B$4,MATCH(J12,Liste!$A$2:$A$4,0)))</f>
        <v/>
      </c>
      <c r="L12" s="30" t="inlineStr">
        <is>
          <t>TBD</t>
        </is>
      </c>
      <c r="M12" s="30" t="n"/>
      <c r="N12" s="30" t="n"/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/>
      <c r="F13" s="36" t="n"/>
      <c r="G13" s="36" t="n"/>
      <c r="H13" s="36" t="n"/>
      <c r="I13" s="36" t="n"/>
      <c r="J13" s="30" t="n"/>
      <c r="K13" s="33">
        <f>IF(J13="","",INDEX(Liste!$B$2:$B$4,MATCH(J13,Liste!$A$2:$A$4,0)))</f>
        <v/>
      </c>
      <c r="L13" s="30" t="inlineStr">
        <is>
          <t>TBD</t>
        </is>
      </c>
      <c r="M13" s="30" t="n"/>
      <c r="N13" s="30" t="n"/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/>
      <c r="F14" s="36" t="n"/>
      <c r="G14" s="36" t="n"/>
      <c r="H14" s="36" t="n"/>
      <c r="I14" s="36" t="n"/>
      <c r="J14" s="30" t="n"/>
      <c r="K14" s="33">
        <f>IF(J14="","",INDEX(Liste!$B$2:$B$4,MATCH(J14,Liste!$A$2:$A$4,0)))</f>
        <v/>
      </c>
      <c r="L14" s="30" t="inlineStr">
        <is>
          <t>TBD</t>
        </is>
      </c>
      <c r="M14" s="30" t="n"/>
      <c r="N14" s="30" t="n"/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/>
      <c r="F15" s="36" t="n"/>
      <c r="G15" s="36" t="n"/>
      <c r="H15" s="36" t="n"/>
      <c r="I15" s="36" t="n"/>
      <c r="J15" s="30" t="n"/>
      <c r="K15" s="33">
        <f>IF(J15="","",INDEX(Liste!$B$2:$B$4,MATCH(J15,Liste!$A$2:$A$4,0)))</f>
        <v/>
      </c>
      <c r="L15" s="30" t="inlineStr">
        <is>
          <t>TBD</t>
        </is>
      </c>
      <c r="M15" s="30" t="n"/>
      <c r="N15" s="30" t="n"/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/>
      <c r="F16" s="36" t="n"/>
      <c r="G16" s="36" t="n"/>
      <c r="H16" s="36" t="n"/>
      <c r="I16" s="36" t="n"/>
      <c r="J16" s="30" t="n"/>
      <c r="K16" s="33">
        <f>IF(J16="","",INDEX(Liste!$B$2:$B$4,MATCH(J16,Liste!$A$2:$A$4,0)))</f>
        <v/>
      </c>
      <c r="L16" s="30" t="inlineStr">
        <is>
          <t>TBD</t>
        </is>
      </c>
      <c r="M16" s="30" t="n"/>
      <c r="N16" s="30" t="n"/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/>
      <c r="F17" s="36" t="n"/>
      <c r="G17" s="36" t="n"/>
      <c r="H17" s="36" t="n"/>
      <c r="I17" s="36" t="n"/>
      <c r="J17" s="30" t="n"/>
      <c r="K17" s="33">
        <f>IF(J17="","",INDEX(Liste!$B$2:$B$4,MATCH(J17,Liste!$A$2:$A$4,0)))</f>
        <v/>
      </c>
      <c r="L17" s="30" t="inlineStr">
        <is>
          <t>TBD</t>
        </is>
      </c>
      <c r="M17" s="30" t="n"/>
      <c r="N17" s="30" t="n"/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/>
      <c r="F18" s="36" t="n"/>
      <c r="G18" s="36" t="n"/>
      <c r="H18" s="36" t="n"/>
      <c r="I18" s="36" t="n"/>
      <c r="J18" s="30" t="n"/>
      <c r="K18" s="33">
        <f>IF(J18="","",INDEX(Liste!$B$2:$B$4,MATCH(J18,Liste!$A$2:$A$4,0)))</f>
        <v/>
      </c>
      <c r="L18" s="30" t="inlineStr">
        <is>
          <t>TBD</t>
        </is>
      </c>
      <c r="M18" s="30" t="n"/>
      <c r="N18" s="30" t="n"/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6" t="n"/>
      <c r="F19" s="36" t="n"/>
      <c r="G19" s="36" t="n"/>
      <c r="H19" s="36" t="n"/>
      <c r="I19" s="36" t="n"/>
      <c r="J19" s="30" t="n"/>
      <c r="K19" s="33">
        <f>IF(J19="","",INDEX(Liste!$B$2:$B$4,MATCH(J19,Liste!$A$2:$A$4,0)))</f>
        <v/>
      </c>
      <c r="L19" s="30" t="inlineStr">
        <is>
          <t>TBD</t>
        </is>
      </c>
      <c r="M19" s="30" t="n"/>
      <c r="N19" s="30" t="n"/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6" t="n"/>
      <c r="F20" s="36" t="n"/>
      <c r="G20" s="36" t="n"/>
      <c r="H20" s="36" t="n"/>
      <c r="I20" s="36" t="n"/>
      <c r="J20" s="30" t="n"/>
      <c r="K20" s="33">
        <f>IF(J20="","",INDEX(Liste!$B$2:$B$4,MATCH(J20,Liste!$A$2:$A$4,0)))</f>
        <v/>
      </c>
      <c r="L20" s="30" t="inlineStr">
        <is>
          <t>TBD</t>
        </is>
      </c>
      <c r="M20" s="30" t="n"/>
      <c r="N20" s="30" t="n"/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6" t="n"/>
      <c r="F21" s="36" t="n"/>
      <c r="G21" s="36" t="n"/>
      <c r="H21" s="36" t="n"/>
      <c r="I21" s="36" t="n"/>
      <c r="J21" s="30" t="n"/>
      <c r="K21" s="33">
        <f>IF(J21="","",INDEX(Liste!$B$2:$B$4,MATCH(J21,Liste!$A$2:$A$4,0)))</f>
        <v/>
      </c>
      <c r="L21" s="30" t="inlineStr">
        <is>
          <t>TBD</t>
        </is>
      </c>
      <c r="M21" s="30" t="n"/>
      <c r="N21" s="30" t="n"/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/>
      <c r="F24" s="36" t="n"/>
      <c r="G24" s="36" t="n"/>
      <c r="H24" s="36" t="n"/>
      <c r="I24" s="36" t="n"/>
      <c r="J24" s="30" t="n"/>
      <c r="K24" s="33">
        <f>IF(J24="","",INDEX(Liste!$B$2:$B$4,MATCH(J24,Liste!$A$2:$A$4,0)))</f>
        <v/>
      </c>
      <c r="L24" s="30" t="inlineStr">
        <is>
          <t>TBD</t>
        </is>
      </c>
      <c r="M24" s="30" t="n"/>
      <c r="N24" s="30" t="n"/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n"/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eclisse/luce: da A5.6 (TBD)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/>
      <c r="E7" s="30" t="n"/>
      <c r="F7" s="40">
        <f>IF(OR(D7="",E7=""),"",D7*E7)</f>
        <v/>
      </c>
      <c r="G7" s="30" t="inlineStr">
        <is>
          <t>TBD</t>
        </is>
      </c>
      <c r="H7" s="30" t="inlineStr">
        <is>
          <t>A5.5 (Giuliano)</t>
        </is>
      </c>
      <c r="I7" s="30" t="n"/>
    </row>
    <row r="9" ht="15" customHeight="1" s="22">
      <c r="B9" s="34" t="inlineStr">
        <is>
          <t>Volume giornaliero totale (MB)</t>
        </is>
      </c>
      <c r="F9" s="35">
        <f>SUM(F2:F7)</f>
        <v/>
      </c>
    </row>
    <row r="10" ht="23.85" customHeight="1" s="22">
      <c r="B10" s="38" t="inlineStr">
        <is>
          <t>Capacità di scarico al giorno (MB): da A5.5 (TBD)</t>
        </is>
      </c>
    </row>
    <row r="11" ht="23.85" customHeight="1" s="22">
      <c r="B11" s="38" t="inlineStr">
        <is>
          <t>Memoria di bordo: margine RAM ≥ 50%, processore ≤ 50% (D-035)</t>
        </is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TMA</t>
        </is>
      </c>
      <c r="C3" s="30" t="inlineStr">
        <is>
          <t>Giuseppe</t>
        </is>
      </c>
      <c r="D3" s="30" t="n"/>
      <c r="E3" s="30" t="n"/>
      <c r="F3" s="30" t="n"/>
      <c r="G3" s="40">
        <f>IF(OR(D3="",E3="",F3=""),"",D3*E3*F3/1000000)</f>
        <v/>
      </c>
      <c r="I3" s="30" t="inlineStr">
        <is>
          <t>R-01</t>
        </is>
      </c>
      <c r="J3" s="30" t="n"/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/>
      <c r="E4" s="30" t="n"/>
      <c r="F4" s="30" t="n"/>
      <c r="G4" s="40">
        <f>IF(OR(D4="",E4="",F4=""),"",D4*E4*F4/1000000)</f>
        <v/>
      </c>
      <c r="I4" s="30" t="inlineStr">
        <is>
          <t>A5.3</t>
        </is>
      </c>
      <c r="J4" s="30" t="n"/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/>
      <c r="E5" s="30" t="n"/>
      <c r="F5" s="30" t="n"/>
      <c r="G5" s="40">
        <f>IF(OR(D5="",E5="",F5=""),"",D5*E5*F5/1000000)</f>
        <v/>
      </c>
      <c r="I5" s="30" t="inlineStr">
        <is>
          <t>A5.5</t>
        </is>
      </c>
      <c r="J5" s="30" t="n"/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/>
      <c r="E6" s="30" t="n"/>
      <c r="F6" s="30" t="n"/>
      <c r="G6" s="40">
        <f>IF(OR(D6="",E6="",F6=""),"",D6*E6*F6/1000000)</f>
        <v/>
      </c>
      <c r="I6" s="30" t="inlineStr">
        <is>
          <t>A5</t>
        </is>
      </c>
      <c r="J6" s="30" t="n"/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2026-10-24T11:07:06Z</dcterms:modified>
  <cp:revision>0</cp:revision>
</cp:coreProperties>
</file>